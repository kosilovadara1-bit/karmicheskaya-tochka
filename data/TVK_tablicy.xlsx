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феры" sheetId="2" state="visible" r:id="rId2"/>
    <sheet xmlns:r="http://schemas.openxmlformats.org/officeDocument/2006/relationships" name="Ответы" sheetId="3" state="visible" r:id="rId3"/>
    <sheet xmlns:r="http://schemas.openxmlformats.org/officeDocument/2006/relationships" name="Тексты разбора" sheetId="4" state="visible" r:id="rId4"/>
    <sheet xmlns:r="http://schemas.openxmlformats.org/officeDocument/2006/relationships" name="Настройки" sheetId="5" state="visible" r:id="rId5"/>
  </sheets>
  <definedNames>
    <definedName name="_xlnm._FilterDatabase" localSheetId="1" hidden="1">'Сферы'!$A$1:$J$7</definedName>
    <definedName name="_xlnm._FilterDatabase" localSheetId="3" hidden="1">'Тексты разбора'!$A$1:$D$86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FF06232D"/>
      <sz val="18"/>
    </font>
    <font>
      <name val="Montserrat"/>
      <color rgb="FF5A6A70"/>
      <sz val="11"/>
    </font>
    <font>
      <name val="Montserrat"/>
      <b val="1"/>
      <color rgb="FFB08D4B"/>
      <sz val="10"/>
    </font>
    <font>
      <name val="Montserrat"/>
      <color rgb="FF0B2A3A"/>
      <sz val="10"/>
    </font>
    <font>
      <name val="Montserrat"/>
      <color rgb="FF9A5B1E"/>
      <sz val="10"/>
    </font>
    <font>
      <name val="Courier New"/>
      <color rgb="FF0E6A7A"/>
      <sz val="9.5"/>
    </font>
    <font>
      <name val="Montserrat"/>
      <b val="1"/>
      <color rgb="FFF7F1E6"/>
      <sz val="10"/>
    </font>
    <font>
      <name val="Montserrat"/>
      <b val="1"/>
      <color rgb="FF0B2A3A"/>
      <sz val="9"/>
    </font>
    <font>
      <name val="Montserrat"/>
      <color rgb="FF0B2A3A"/>
      <sz val="9"/>
    </font>
    <font>
      <name val="Montserrat"/>
      <color rgb="FF5A6A70"/>
      <sz val="9"/>
    </font>
    <font>
      <name val="Courier New"/>
      <b val="1"/>
      <color rgb="FF06232D"/>
      <sz val="9.5"/>
    </font>
    <font>
      <name val="Montserrat"/>
      <color rgb="FF0B2A3A"/>
      <sz val="9.5"/>
    </font>
  </fonts>
  <fills count="5">
    <fill>
      <patternFill/>
    </fill>
    <fill>
      <patternFill patternType="gray125"/>
    </fill>
    <fill>
      <patternFill patternType="solid">
        <fgColor rgb="FF06232D"/>
      </patternFill>
    </fill>
    <fill>
      <patternFill patternType="solid">
        <fgColor rgb="FFF7F1E6"/>
      </patternFill>
    </fill>
    <fill>
      <patternFill patternType="solid">
        <fgColor rgb="FFFBF7F0"/>
      </patternFill>
    </fill>
  </fills>
  <borders count="2">
    <border>
      <left/>
      <right/>
      <top/>
      <bottom/>
      <diagonal/>
    </border>
    <border>
      <left style="thin">
        <color rgb="FFE4CFA6"/>
      </left>
      <right style="thin">
        <color rgb="FFE4CFA6"/>
      </right>
      <top style="thin">
        <color rgb="FFE4CFA6"/>
      </top>
      <bottom style="thin">
        <color rgb="FFE4CFA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30" customHeight="1">
      <c r="B1" s="1" t="inlineStr">
        <is>
          <t>ЛИД-МАГНИТ «ТВОЯ КАРМИЧЕСКАЯ ТОЧКА»</t>
        </is>
      </c>
    </row>
    <row r="2" ht="22" customHeight="1">
      <c r="B2" s="2" t="inlineStr">
        <is>
          <t>Рабочая книга: из неё собирается персональный PDF на 8 страниц</t>
        </is>
      </c>
    </row>
    <row r="3" ht="10" customHeight="1"/>
    <row r="4" ht="28" customHeight="1">
      <c r="B4" s="3" t="inlineStr">
        <is>
          <t>ИЗ ЧЕГО СОСТОИТ КНИГА</t>
        </is>
      </c>
    </row>
    <row r="5">
      <c r="B5" s="4" t="inlineStr">
        <is>
          <t>Сферы — Справочник 6 сфер. Здесь живут «Линия духа», три шага с пояснениями и «Почему эти шаги». Меняешь текст — меняется страница 7 в PDF.</t>
        </is>
      </c>
    </row>
    <row r="6">
      <c r="B6" s="4" t="inlineStr">
        <is>
          <t>Ответы — Сюда падают ответы из Google Формы. Колонки H–J подтягивают текст по выбранной сфере формулой ВПР — их читает скрипт, который делает PDF.</t>
        </is>
      </c>
    </row>
    <row r="7">
      <c r="B7" s="4" t="inlineStr">
        <is>
          <t>Тексты разбора — Все заголовки, абзацы и подписи 8 страниц. Правишь здесь — меняется вёрстка PDF, код трогать не нужно.</t>
        </is>
      </c>
    </row>
    <row r="8">
      <c r="B8" s="4" t="inlineStr">
        <is>
          <t>Настройки — Имя автора, ссылка на запись, контакты, шаблон, тема письма.</t>
        </is>
      </c>
    </row>
    <row r="9" ht="10" customHeight="1"/>
    <row r="10" ht="28" customHeight="1">
      <c r="B10" s="3" t="inlineStr">
        <is>
          <t>КАК ПОДКЛЮЧИТЬ (5 ШАГОВ)</t>
        </is>
      </c>
    </row>
    <row r="11">
      <c r="B11" s="4" t="inlineStr">
        <is>
          <t>1. Загрузи этот файл на Google Диск → правый клик → Открыть с помощью → Google Таблицы (или Файл → Импорт в существующую таблицу).</t>
        </is>
      </c>
    </row>
    <row r="12">
      <c r="B12" s="4" t="inlineStr">
        <is>
          <t>2. Проверь лист «Сферы»: названия в колонке A должны совпадать с вариантами в форме символ в символ.</t>
        </is>
      </c>
    </row>
    <row r="13">
      <c r="B13" s="4" t="inlineStr">
        <is>
          <t>3. Привяжи форму к листу «Ответы» (Форма → Ответы → Связать с Таблицами) или просто перенеси ответы на этот лист — порядок колонок A–G должен сохраниться.</t>
        </is>
      </c>
    </row>
    <row r="14">
      <c r="B14" s="4" t="inlineStr">
        <is>
          <t>4. Вставь скрипт apps_script.gs (Расширения → Apps Script), укажи ID шаблона Google Документа и запусти install() один раз.</t>
        </is>
      </c>
    </row>
    <row r="15">
      <c r="B15" s="4" t="inlineStr">
        <is>
          <t>5. Заполни форму тестом — PDF должен прийти на почту в течение минуты.</t>
        </is>
      </c>
    </row>
    <row r="16" ht="10" customHeight="1"/>
    <row r="17" ht="28" customHeight="1">
      <c r="B17" s="3" t="inlineStr">
        <is>
          <t>ПРАВИЛА, КОТОРЫЕ НЕЛЬЗЯ НАРУШАТЬ</t>
        </is>
      </c>
    </row>
    <row r="18">
      <c r="B18" s="5" t="inlineStr">
        <is>
          <t>!  Названия сфер в колонке A листа «Сферы» менять нельзя — по ним работает ВПР и скрипт.</t>
        </is>
      </c>
    </row>
    <row r="19">
      <c r="B19" s="5" t="inlineStr">
        <is>
          <t>!  Столбцы A–G на листе «Ответы» — это ответы формы. Не переставляй их местами.</t>
        </is>
      </c>
    </row>
    <row r="20">
      <c r="B20" s="5" t="inlineStr">
        <is>
          <t>!  Ключи в первом столбце листа «Тексты разбора» менять нельзя — по ним собирается PDF.</t>
        </is>
      </c>
    </row>
    <row r="21" ht="10" customHeight="1"/>
    <row r="22" ht="28" customHeight="1">
      <c r="B22" s="3" t="inlineStr">
        <is>
          <t>ЛОКАЛЬНАЯ СБОРКА PDF ИЗ ЭТОЙ КНИГИ</t>
        </is>
      </c>
    </row>
    <row r="23">
      <c r="B23" s="6" t="inlineStr">
        <is>
          <t>python3 build_pdf_from_sheet.py --row 2              # собрать по строке 2</t>
        </is>
      </c>
    </row>
    <row r="24">
      <c r="B24" s="6" t="inlineStr">
        <is>
          <t>python3 build_pdf_from_sheet.py --row 3 --out leadmagnet/Maria.pdf</t>
        </is>
      </c>
    </row>
    <row r="25" ht="10" customHeight="1"/>
    <row r="26" ht="28" customHeight="1">
      <c r="B26" s="3" t="inlineStr">
        <is>
          <t>ЕСЛИ ХОЧЕТСЯ БЕЗ СКРИПТА</t>
        </is>
      </c>
    </row>
    <row r="27">
      <c r="B27" s="4" t="inlineStr">
        <is>
          <t>Вручную — Открой шаблон shablon_TVK_metki.docx → замени метки &lt;&lt;...&gt;&gt; на значения из строки «Ответов» и колонок H–J → Файл → Скачать → PDF. 3 минуты на человека.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0" customWidth="1" min="4" max="4"/>
    <col width="30" customWidth="1" min="5" max="5"/>
    <col width="38" customWidth="1" min="6" max="6"/>
    <col width="38" customWidth="1" min="7" max="7"/>
    <col width="38" customWidth="1" min="8" max="8"/>
    <col width="40" customWidth="1" min="9" max="9"/>
    <col width="40" customWidth="1" min="10" max="10"/>
  </cols>
  <sheetData>
    <row r="1" ht="40" customHeight="1">
      <c r="A1" s="7" t="inlineStr">
        <is>
          <t>Сфера</t>
        </is>
      </c>
      <c r="B1" s="7" t="inlineStr">
        <is>
          <t>Линия духа</t>
        </is>
      </c>
      <c r="C1" s="7" t="inlineStr">
        <is>
          <t>Шаг 1</t>
        </is>
      </c>
      <c r="D1" s="7" t="inlineStr">
        <is>
          <t>Шаг 2</t>
        </is>
      </c>
      <c r="E1" s="7" t="inlineStr">
        <is>
          <t>Шаг 3</t>
        </is>
      </c>
      <c r="F1" s="7" t="inlineStr">
        <is>
          <t>Пояснение к шагу 1</t>
        </is>
      </c>
      <c r="G1" s="7" t="inlineStr">
        <is>
          <t>Пояснение к шагу 2</t>
        </is>
      </c>
      <c r="H1" s="7" t="inlineStr">
        <is>
          <t>Пояснение к шагу 3</t>
        </is>
      </c>
      <c r="I1" s="7" t="inlineStr">
        <is>
          <t>Почему эти шаги</t>
        </is>
      </c>
      <c r="J1" s="7" t="inlineStr">
        <is>
          <t>Универсальная главная ошибка</t>
        </is>
      </c>
    </row>
    <row r="2" ht="104" customHeight="1">
      <c r="A2" s="8" t="inlineStr">
        <is>
          <t>Личность</t>
        </is>
      </c>
      <c r="B2" s="9" t="inlineStr">
        <is>
          <t>Признание своей ценности, действие без чужого разрешения</t>
        </is>
      </c>
      <c r="C2" s="9" t="inlineStr">
        <is>
          <t>Выпиши 10 своих достижений за последний год.</t>
        </is>
      </c>
      <c r="D2" s="9" t="inlineStr">
        <is>
          <t>Сделай одно дело без чужого одобрения.</t>
        </is>
      </c>
      <c r="E2" s="9" t="inlineStr">
        <is>
          <t>Скажи «нет» одному делу, которое тебе не нужно.</t>
        </is>
      </c>
      <c r="F2" s="9" t="inlineStr">
        <is>
          <t>Даже маленьких. («Наконец-то сходила к врачу», «Сделала проект на работе»). Это вернёт тебе ощущение ценности.</t>
        </is>
      </c>
      <c r="G2" s="9" t="inlineStr">
        <is>
          <t>Не спрашивай «а как лучше?», не жди, что кто-то скажет «молодец». Просто сделай — и похвали себя сам(а).</t>
        </is>
      </c>
      <c r="H2" s="9" t="inlineStr">
        <is>
          <t>Просто попробуй. Это укрепит твои границы и покажет, что ты имеешь право выбирать.</t>
        </is>
      </c>
      <c r="I2" s="9" t="inlineStr">
        <is>
          <t>Ты ждёшь разрешения от других, чтобы начать действовать. Эти три шага помогут тебе вернуть себе ценность и почувствовать, что ты имеешь право выбирать.</t>
        </is>
      </c>
      <c r="J2" s="9" t="inlineStr">
        <is>
          <t>Ты чувствуешь, что твои таланты не признаны — ни тобой, ни другими. Ты ждёшь разрешения, чтобы начать действовать.</t>
        </is>
      </c>
    </row>
    <row r="3" ht="104" customHeight="1">
      <c r="A3" s="10" t="inlineStr">
        <is>
          <t>Духовность</t>
        </is>
      </c>
      <c r="B3" s="11" t="inlineStr">
        <is>
          <t>Тишина, возвращение к своим желаниям, благодарность</t>
        </is>
      </c>
      <c r="C3" s="11" t="inlineStr">
        <is>
          <t>Выдели 15 минут в день на тишину без телефона.</t>
        </is>
      </c>
      <c r="D3" s="11" t="inlineStr">
        <is>
          <t>Напиши список из 5 вещей, которые приносят тебе радость.</t>
        </is>
      </c>
      <c r="E3" s="11" t="inlineStr">
        <is>
          <t>Вспомни, о чём ты мечтал(а) в детстве.</t>
        </is>
      </c>
      <c r="F3" s="11" t="inlineStr">
        <is>
          <t>Просто сядь и спроси себя: «Что я сейчас чувствую? Чего я хочу на самом деле?» Не анализируй — просто слушай.</t>
        </is>
      </c>
      <c r="G3" s="11" t="inlineStr">
        <is>
          <t>Не «полезных», а именно радостных. И сделай одну из них на этой неделе.</t>
        </is>
      </c>
      <c r="H3" s="11" t="inlineStr">
        <is>
          <t>Напиши это. Даже если это кажется глупым. Это может быть ключом к твоему смыслу.</t>
        </is>
      </c>
      <c r="I3" s="11" t="inlineStr">
        <is>
          <t>Ты потерял(а) связь с собой и делаешь то, что «надо». Эти три шага помогут тебе услышать свои желания и вернуть радость.</t>
        </is>
      </c>
      <c r="J3" s="11" t="inlineStr">
        <is>
          <t>Ты потерял(а) связь с собой. Ты делаешь то, что «надо», а не то, что откликается.</t>
        </is>
      </c>
    </row>
    <row r="4" ht="104" customHeight="1">
      <c r="A4" s="8" t="inlineStr">
        <is>
          <t>Реализация</t>
        </is>
      </c>
      <c r="B4" s="9" t="inlineStr">
        <is>
          <t>Разрешение себе зарабатывать, финансовое планирование</t>
        </is>
      </c>
      <c r="C4" s="9" t="inlineStr">
        <is>
          <t>Напиши сумму, которую ты хочешь зарабатывать в месяц.</t>
        </is>
      </c>
      <c r="D4" s="9" t="inlineStr">
        <is>
          <t>Найди один свой навык, за который тебе уже платят (или могут платить).</t>
        </is>
      </c>
      <c r="E4" s="9" t="inlineStr">
        <is>
          <t>Сделай одно действие, которое приближает тебя к деньгам.</t>
        </is>
      </c>
      <c r="F4" s="9" t="inlineStr">
        <is>
          <t>Конкретную цифру. И честно ответь: «Что я думаю о людях, которые столько зарабатывают?» (Зависть? Страх? «Они воруют»?) Это твой блок.</t>
        </is>
      </c>
      <c r="G4" s="9" t="inlineStr">
        <is>
          <t>Напиши, как ты можешь его монетизировать — пусть даже на 1000 ₽ больше.</t>
        </is>
      </c>
      <c r="H4" s="9" t="inlineStr">
        <is>
          <t>Не «изучи рынок», а конкретно: отправь резюме, напиши клиенту, подними цену на свою услугу.</t>
        </is>
      </c>
      <c r="I4" s="9" t="inlineStr">
        <is>
          <t>Ты работаешь много, но результат не отражает твоих усилий. Эти три шага помогут тебе увидеть свой денежный блок и сделать первый шаг к доходу.</t>
        </is>
      </c>
      <c r="J4" s="9" t="inlineStr">
        <is>
          <t>Ты чувствуешь, что деньги не приходят так, как хотелось бы. Ты работаешь много, но результат не отражает твоих усилий.</t>
        </is>
      </c>
    </row>
    <row r="5" ht="104" customHeight="1">
      <c r="A5" s="10" t="inlineStr">
        <is>
          <t>Отношения</t>
        </is>
      </c>
      <c r="B5" s="11" t="inlineStr">
        <is>
          <t>Границы, любовь к себе, выбор из целостности</t>
        </is>
      </c>
      <c r="C5" s="11" t="inlineStr">
        <is>
          <t>Вспомни один эпизод, где ты не сказал(а) «нет».</t>
        </is>
      </c>
      <c r="D5" s="11" t="inlineStr">
        <is>
          <t>Напиши 5 вещей, за которые ты себя любишь.</t>
        </is>
      </c>
      <c r="E5" s="11" t="inlineStr">
        <is>
          <t>Сделай одно действие для себя, а не для других.</t>
        </is>
      </c>
      <c r="F5" s="11" t="inlineStr">
        <is>
          <t>Напиши, что бы ты сказал(а) сейчас. Это твоя граница — и ты имеешь на неё право.</t>
        </is>
      </c>
      <c r="G5" s="11" t="inlineStr">
        <is>
          <t>Не за что-то, а просто так. Это основа здоровых отношений — любовь к себе.</t>
        </is>
      </c>
      <c r="H5" s="11" t="inlineStr">
        <is>
          <t>Не для партнёра, не для мамы, не для коллег. Для себя. Это может быть ванна, прогулка, покупка чего-то приятного.</t>
        </is>
      </c>
      <c r="I5" s="11" t="inlineStr">
        <is>
          <t>Ты повторяешь один и тот же сценарий — выбираешь не тех или закрываешься от близости. Эти три шага помогут тебе укрепить границы и вернуть любовь к себе.</t>
        </is>
      </c>
      <c r="J5" s="11" t="inlineStr">
        <is>
          <t>Ты повторяешь один и тот же сценарий: выбираешь не тех или закрываешься от близости.</t>
        </is>
      </c>
    </row>
    <row r="6" ht="104" customHeight="1">
      <c r="A6" s="8" t="inlineStr">
        <is>
          <t>Здоровье</t>
        </is>
      </c>
      <c r="B6" s="9" t="inlineStr">
        <is>
          <t>Слышать тело, отдых без вины, эмоции через тело</t>
        </is>
      </c>
      <c r="C6" s="9" t="inlineStr">
        <is>
          <t>Ляг спать на 30 минут раньше.</t>
        </is>
      </c>
      <c r="D6" s="9" t="inlineStr">
        <is>
          <t>Напиши список из 3 вещей, после которых ты чувствуешь себя лучше.</t>
        </is>
      </c>
      <c r="E6" s="9" t="inlineStr">
        <is>
          <t>Спроси своё тело: «Чего ты хочешь?»</t>
        </is>
      </c>
      <c r="F6" s="9" t="inlineStr">
        <is>
          <t>Без телефона. Просто понаблюдай, как тело отреагирует.</t>
        </is>
      </c>
      <c r="G6" s="9" t="inlineStr">
        <is>
          <t>(Прогулка? Вода? Тишина?) И сделай одну из них сегодня.</t>
        </is>
      </c>
      <c r="H6" s="9" t="inlineStr">
        <is>
          <t>Закрой глаза, сделай вдох-выдох и прислушайся. Первый ответ — самый честный.</t>
        </is>
      </c>
      <c r="I6" s="9" t="inlineStr">
        <is>
          <t>Ты игнорируешь сигналы тела и живёшь «на автопилоте». Эти три шага помогут тебе услышать тело и вернуть ресурс.</t>
        </is>
      </c>
      <c r="J6" s="9" t="inlineStr">
        <is>
          <t>Твоё тело подаёт сигналы, которые ты игнорируешь. Ты живёшь «на автопилоте», не слыша себя.</t>
        </is>
      </c>
    </row>
    <row r="7" ht="104" customHeight="1">
      <c r="A7" s="10" t="inlineStr">
        <is>
          <t>Миссия и смысл</t>
        </is>
      </c>
      <c r="B7" s="11" t="inlineStr">
        <is>
          <t>Поиск «зачем», служение, действие без оплаты</t>
        </is>
      </c>
      <c r="C7" s="11" t="inlineStr">
        <is>
          <t>Ответь на вопрос: «Чем бы я занимался(лась), если бы никто не платил и не оценивал?»</t>
        </is>
      </c>
      <c r="D7" s="11" t="inlineStr">
        <is>
          <t>Вспомни, когда ты последний раз чувствовал(а) себя «на своём месте».</t>
        </is>
      </c>
      <c r="E7" s="11" t="inlineStr">
        <is>
          <t>Сделай одно маленькое действие в сторону этого «зачем».</t>
        </is>
      </c>
      <c r="F7" s="11" t="inlineStr">
        <is>
          <t>Напиши 3 варианта. Не думай о деньгах — только о том, что важно.</t>
        </is>
      </c>
      <c r="G7" s="11" t="inlineStr">
        <is>
          <t>Опиши эту ситуацию. Что ты делал(а)? С кем? Это ключ к твоей миссии.</t>
        </is>
      </c>
      <c r="H7" s="11" t="inlineStr">
        <is>
          <t>Даже если это просто пост в соцсетях, разговор с человеком или чтение статьи на тему.</t>
        </is>
      </c>
      <c r="I7" s="11" t="inlineStr">
        <is>
          <t>Ты чувствуешь, что живёшь не свою жизнь. Внешне всё «нормально», но внутри — пустота. Эти три шага помогут тебе найти своё «зачем» и сделать первый шаг к нему.</t>
        </is>
      </c>
      <c r="J7" s="11" t="inlineStr">
        <is>
          <t>Ты чувствуешь, что живёшь не свою жизнь. Внешне всё «нормально», но внутри — пустота.</t>
        </is>
      </c>
    </row>
  </sheetData>
  <autoFilter ref="A1:J7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4" customWidth="1" min="3" max="3"/>
    <col width="30" customWidth="1" min="4" max="4"/>
    <col width="14" customWidth="1" min="5" max="5"/>
    <col width="22" customWidth="1" min="6" max="6"/>
    <col width="12" customWidth="1" min="7" max="7"/>
    <col width="26" customWidth="1" min="8" max="8"/>
    <col width="34" customWidth="1" min="9" max="9"/>
    <col width="34" customWidth="1" min="10" max="10"/>
    <col width="17" customWidth="1" min="11" max="11"/>
  </cols>
  <sheetData>
    <row r="1" ht="44" customHeight="1">
      <c r="A1" s="7" t="inlineStr">
        <is>
          <t>Отметка времени</t>
        </is>
      </c>
      <c r="B1" s="7" t="inlineStr">
        <is>
          <t>Сфера</t>
        </is>
      </c>
      <c r="C1" s="7" t="inlineStr">
        <is>
          <t>Ответ 2 — ситуация</t>
        </is>
      </c>
      <c r="D1" s="7" t="inlineStr">
        <is>
          <t>Ответ 3 — волшебная палочка</t>
        </is>
      </c>
      <c r="E1" s="7" t="inlineStr">
        <is>
          <t>Имя</t>
        </is>
      </c>
      <c r="F1" s="7" t="inlineStr">
        <is>
          <t>Email</t>
        </is>
      </c>
      <c r="G1" s="7" t="inlineStr">
        <is>
          <t>Согласие</t>
        </is>
      </c>
      <c r="H1" s="7" t="inlineStr">
        <is>
          <t>Линия духа (авто)</t>
        </is>
      </c>
      <c r="I1" s="7" t="inlineStr">
        <is>
          <t>Три шага (авто)</t>
        </is>
      </c>
      <c r="J1" s="7" t="inlineStr">
        <is>
          <t>Почему эти шаги (авто)</t>
        </is>
      </c>
      <c r="K1" s="7" t="inlineStr">
        <is>
          <t>PDF отправлен</t>
        </is>
      </c>
    </row>
    <row r="2" ht="64" customHeight="1">
      <c r="A2" s="11" t="inlineStr">
        <is>
          <t>2026-10-28 09:12</t>
        </is>
      </c>
      <c r="B2" s="11" t="inlineStr">
        <is>
          <t>Реализация</t>
        </is>
      </c>
      <c r="C2" s="11" t="inlineStr">
        <is>
          <t>Беру новые проекты, но не поднимаю цену — и потом выгораю</t>
        </is>
      </c>
      <c r="D2" s="11" t="inlineStr">
        <is>
          <t>Выйти на стабильные 300 000 ₽ в месяц</t>
        </is>
      </c>
      <c r="E2" s="11" t="inlineStr">
        <is>
          <t>Анна</t>
        </is>
      </c>
      <c r="F2" s="11" t="inlineStr">
        <is>
          <t>anna@example.com</t>
        </is>
      </c>
      <c r="G2" s="11" t="inlineStr">
        <is>
          <t>да</t>
        </is>
      </c>
      <c r="H2" s="12">
        <f>IF($B2="","",IFERROR(VLOOKUP($B2,Сферы!$A$2:$J$7,2,FALSE),"сфера не найдена"))</f>
        <v/>
      </c>
      <c r="I2" s="12">
        <f>IF($B2="","",IFERROR(VLOOKUP($B2,Сферы!$A$2:$J$7,3,FALSE)&amp;" / "&amp;VLOOKUP($B2,Сферы!$A$2:$J$7,4,FALSE)&amp;" / "&amp;VLOOKUP($B2,Сферы!$A$2:$J$7,5,FALSE),""))</f>
        <v/>
      </c>
      <c r="J2" s="12">
        <f>IF($B2="","",IFERROR(VLOOKUP($B2,Сферы!$A$2:$J$7,9,FALSE),""))</f>
        <v/>
      </c>
      <c r="K2" s="11" t="n"/>
    </row>
    <row r="3" ht="64" customHeight="1">
      <c r="A3" s="9" t="inlineStr">
        <is>
          <t>2026-10-28 09:20</t>
        </is>
      </c>
      <c r="B3" s="9" t="inlineStr">
        <is>
          <t>Отношения</t>
        </is>
      </c>
      <c r="C3" s="9" t="inlineStr">
        <is>
          <t>Снова выбрала мужчину, который не готов к серьёзному, и опять всё закончилось</t>
        </is>
      </c>
      <c r="D3" s="9" t="inlineStr">
        <is>
          <t>Перестать бояться близости и построить спокойные отношения</t>
        </is>
      </c>
      <c r="E3" s="9" t="inlineStr">
        <is>
          <t>Мария</t>
        </is>
      </c>
      <c r="F3" s="9" t="inlineStr">
        <is>
          <t>maria@example.com</t>
        </is>
      </c>
      <c r="G3" s="9" t="inlineStr">
        <is>
          <t>да</t>
        </is>
      </c>
      <c r="H3" s="12">
        <f>IF($B3="","",IFERROR(VLOOKUP($B3,Сферы!$A$2:$J$7,2,FALSE),"сфера не найдена"))</f>
        <v/>
      </c>
      <c r="I3" s="12">
        <f>IF($B3="","",IFERROR(VLOOKUP($B3,Сферы!$A$2:$J$7,3,FALSE)&amp;" / "&amp;VLOOKUP($B3,Сферы!$A$2:$J$7,4,FALSE)&amp;" / "&amp;VLOOKUP($B3,Сферы!$A$2:$J$7,5,FALSE),""))</f>
        <v/>
      </c>
      <c r="J3" s="12">
        <f>IF($B3="","",IFERROR(VLOOKUP($B3,Сферы!$A$2:$J$7,9,FALSE),""))</f>
        <v/>
      </c>
      <c r="K3" s="9" t="n"/>
    </row>
    <row r="4" ht="64" customHeight="1">
      <c r="A4" s="11" t="n"/>
      <c r="B4" s="11" t="n"/>
      <c r="C4" s="11" t="n"/>
      <c r="D4" s="11" t="n"/>
      <c r="E4" s="11" t="n"/>
      <c r="F4" s="11" t="n"/>
      <c r="G4" s="11" t="n"/>
      <c r="H4" s="12">
        <f>IF($B4="","",IFERROR(VLOOKUP($B4,Сферы!$A$2:$J$7,2,FALSE),"сфера не найдена"))</f>
        <v/>
      </c>
      <c r="I4" s="12">
        <f>IF($B4="","",IFERROR(VLOOKUP($B4,Сферы!$A$2:$J$7,3,FALSE)&amp;" / "&amp;VLOOKUP($B4,Сферы!$A$2:$J$7,4,FALSE)&amp;" / "&amp;VLOOKUP($B4,Сферы!$A$2:$J$7,5,FALSE),""))</f>
        <v/>
      </c>
      <c r="J4" s="12">
        <f>IF($B4="","",IFERROR(VLOOKUP($B4,Сферы!$A$2:$J$7,9,FALSE),""))</f>
        <v/>
      </c>
      <c r="K4" s="11" t="n"/>
    </row>
    <row r="5" ht="64" customHeight="1">
      <c r="A5" s="9" t="n"/>
      <c r="B5" s="9" t="n"/>
      <c r="C5" s="9" t="n"/>
      <c r="D5" s="9" t="n"/>
      <c r="E5" s="9" t="n"/>
      <c r="F5" s="9" t="n"/>
      <c r="G5" s="9" t="n"/>
      <c r="H5" s="12">
        <f>IF($B5="","",IFERROR(VLOOKUP($B5,Сферы!$A$2:$J$7,2,FALSE),"сфера не найдена"))</f>
        <v/>
      </c>
      <c r="I5" s="12">
        <f>IF($B5="","",IFERROR(VLOOKUP($B5,Сферы!$A$2:$J$7,3,FALSE)&amp;" / "&amp;VLOOKUP($B5,Сферы!$A$2:$J$7,4,FALSE)&amp;" / "&amp;VLOOKUP($B5,Сферы!$A$2:$J$7,5,FALSE),""))</f>
        <v/>
      </c>
      <c r="J5" s="12">
        <f>IF($B5="","",IFERROR(VLOOKUP($B5,Сферы!$A$2:$J$7,9,FALSE),""))</f>
        <v/>
      </c>
      <c r="K5" s="9" t="n"/>
    </row>
    <row r="6" ht="64" customHeight="1">
      <c r="A6" s="11" t="n"/>
      <c r="B6" s="11" t="n"/>
      <c r="C6" s="11" t="n"/>
      <c r="D6" s="11" t="n"/>
      <c r="E6" s="11" t="n"/>
      <c r="F6" s="11" t="n"/>
      <c r="G6" s="11" t="n"/>
      <c r="H6" s="12">
        <f>IF($B6="","",IFERROR(VLOOKUP($B6,Сферы!$A$2:$J$7,2,FALSE),"сфера не найдена"))</f>
        <v/>
      </c>
      <c r="I6" s="12">
        <f>IF($B6="","",IFERROR(VLOOKUP($B6,Сферы!$A$2:$J$7,3,FALSE)&amp;" / "&amp;VLOOKUP($B6,Сферы!$A$2:$J$7,4,FALSE)&amp;" / "&amp;VLOOKUP($B6,Сферы!$A$2:$J$7,5,FALSE),""))</f>
        <v/>
      </c>
      <c r="J6" s="12">
        <f>IF($B6="","",IFERROR(VLOOKUP($B6,Сферы!$A$2:$J$7,9,FALSE),""))</f>
        <v/>
      </c>
      <c r="K6" s="11" t="n"/>
    </row>
    <row r="7" ht="64" customHeight="1">
      <c r="A7" s="9" t="n"/>
      <c r="B7" s="9" t="n"/>
      <c r="C7" s="9" t="n"/>
      <c r="D7" s="9" t="n"/>
      <c r="E7" s="9" t="n"/>
      <c r="F7" s="9" t="n"/>
      <c r="G7" s="9" t="n"/>
      <c r="H7" s="12">
        <f>IF($B7="","",IFERROR(VLOOKUP($B7,Сферы!$A$2:$J$7,2,FALSE),"сфера не найдена"))</f>
        <v/>
      </c>
      <c r="I7" s="12">
        <f>IF($B7="","",IFERROR(VLOOKUP($B7,Сферы!$A$2:$J$7,3,FALSE)&amp;" / "&amp;VLOOKUP($B7,Сферы!$A$2:$J$7,4,FALSE)&amp;" / "&amp;VLOOKUP($B7,Сферы!$A$2:$J$7,5,FALSE),""))</f>
        <v/>
      </c>
      <c r="J7" s="12">
        <f>IF($B7="","",IFERROR(VLOOKUP($B7,Сферы!$A$2:$J$7,9,FALSE),""))</f>
        <v/>
      </c>
      <c r="K7" s="9" t="n"/>
    </row>
    <row r="8" ht="64" customHeight="1">
      <c r="A8" s="11" t="n"/>
      <c r="B8" s="11" t="n"/>
      <c r="C8" s="11" t="n"/>
      <c r="D8" s="11" t="n"/>
      <c r="E8" s="11" t="n"/>
      <c r="F8" s="11" t="n"/>
      <c r="G8" s="11" t="n"/>
      <c r="H8" s="12">
        <f>IF($B8="","",IFERROR(VLOOKUP($B8,Сферы!$A$2:$J$7,2,FALSE),"сфера не найдена"))</f>
        <v/>
      </c>
      <c r="I8" s="12">
        <f>IF($B8="","",IFERROR(VLOOKUP($B8,Сферы!$A$2:$J$7,3,FALSE)&amp;" / "&amp;VLOOKUP($B8,Сферы!$A$2:$J$7,4,FALSE)&amp;" / "&amp;VLOOKUP($B8,Сферы!$A$2:$J$7,5,FALSE),""))</f>
        <v/>
      </c>
      <c r="J8" s="12">
        <f>IF($B8="","",IFERROR(VLOOKUP($B8,Сферы!$A$2:$J$7,9,FALSE),""))</f>
        <v/>
      </c>
      <c r="K8" s="11" t="n"/>
    </row>
    <row r="9" ht="64" customHeight="1">
      <c r="A9" s="9" t="n"/>
      <c r="B9" s="9" t="n"/>
      <c r="C9" s="9" t="n"/>
      <c r="D9" s="9" t="n"/>
      <c r="E9" s="9" t="n"/>
      <c r="F9" s="9" t="n"/>
      <c r="G9" s="9" t="n"/>
      <c r="H9" s="12">
        <f>IF($B9="","",IFERROR(VLOOKUP($B9,Сферы!$A$2:$J$7,2,FALSE),"сфера не найдена"))</f>
        <v/>
      </c>
      <c r="I9" s="12">
        <f>IF($B9="","",IFERROR(VLOOKUP($B9,Сферы!$A$2:$J$7,3,FALSE)&amp;" / "&amp;VLOOKUP($B9,Сферы!$A$2:$J$7,4,FALSE)&amp;" / "&amp;VLOOKUP($B9,Сферы!$A$2:$J$7,5,FALSE),""))</f>
        <v/>
      </c>
      <c r="J9" s="12">
        <f>IF($B9="","",IFERROR(VLOOKUP($B9,Сферы!$A$2:$J$7,9,FALSE),""))</f>
        <v/>
      </c>
      <c r="K9" s="9" t="n"/>
    </row>
    <row r="10" ht="64" customHeight="1">
      <c r="A10" s="11" t="n"/>
      <c r="B10" s="11" t="n"/>
      <c r="C10" s="11" t="n"/>
      <c r="D10" s="11" t="n"/>
      <c r="E10" s="11" t="n"/>
      <c r="F10" s="11" t="n"/>
      <c r="G10" s="11" t="n"/>
      <c r="H10" s="12">
        <f>IF($B10="","",IFERROR(VLOOKUP($B10,Сферы!$A$2:$J$7,2,FALSE),"сфера не найдена"))</f>
        <v/>
      </c>
      <c r="I10" s="12">
        <f>IF($B10="","",IFERROR(VLOOKUP($B10,Сферы!$A$2:$J$7,3,FALSE)&amp;" / "&amp;VLOOKUP($B10,Сферы!$A$2:$J$7,4,FALSE)&amp;" / "&amp;VLOOKUP($B10,Сферы!$A$2:$J$7,5,FALSE),""))</f>
        <v/>
      </c>
      <c r="J10" s="12">
        <f>IF($B10="","",IFERROR(VLOOKUP($B10,Сферы!$A$2:$J$7,9,FALSE),""))</f>
        <v/>
      </c>
      <c r="K10" s="11" t="n"/>
    </row>
    <row r="11" ht="64" customHeight="1">
      <c r="A11" s="9" t="n"/>
      <c r="B11" s="9" t="n"/>
      <c r="C11" s="9" t="n"/>
      <c r="D11" s="9" t="n"/>
      <c r="E11" s="9" t="n"/>
      <c r="F11" s="9" t="n"/>
      <c r="G11" s="9" t="n"/>
      <c r="H11" s="12">
        <f>IF($B11="","",IFERROR(VLOOKUP($B11,Сферы!$A$2:$J$7,2,FALSE),"сфера не найдена"))</f>
        <v/>
      </c>
      <c r="I11" s="12">
        <f>IF($B11="","",IFERROR(VLOOKUP($B11,Сферы!$A$2:$J$7,3,FALSE)&amp;" / "&amp;VLOOKUP($B11,Сферы!$A$2:$J$7,4,FALSE)&amp;" / "&amp;VLOOKUP($B11,Сферы!$A$2:$J$7,5,FALSE),""))</f>
        <v/>
      </c>
      <c r="J11" s="12">
        <f>IF($B11="","",IFERROR(VLOOKUP($B11,Сферы!$A$2:$J$7,9,FALSE),""))</f>
        <v/>
      </c>
      <c r="K11" s="9" t="n"/>
    </row>
    <row r="12" ht="64" customHeight="1">
      <c r="A12" s="11" t="n"/>
      <c r="B12" s="11" t="n"/>
      <c r="C12" s="11" t="n"/>
      <c r="D12" s="11" t="n"/>
      <c r="E12" s="11" t="n"/>
      <c r="F12" s="11" t="n"/>
      <c r="G12" s="11" t="n"/>
      <c r="H12" s="12">
        <f>IF($B12="","",IFERROR(VLOOKUP($B12,Сферы!$A$2:$J$7,2,FALSE),"сфера не найдена"))</f>
        <v/>
      </c>
      <c r="I12" s="12">
        <f>IF($B12="","",IFERROR(VLOOKUP($B12,Сферы!$A$2:$J$7,3,FALSE)&amp;" / "&amp;VLOOKUP($B12,Сферы!$A$2:$J$7,4,FALSE)&amp;" / "&amp;VLOOKUP($B12,Сферы!$A$2:$J$7,5,FALSE),""))</f>
        <v/>
      </c>
      <c r="J12" s="12">
        <f>IF($B12="","",IFERROR(VLOOKUP($B12,Сферы!$A$2:$J$7,9,FALSE),""))</f>
        <v/>
      </c>
      <c r="K12" s="11" t="n"/>
    </row>
    <row r="13" ht="64" customHeight="1">
      <c r="A13" s="9" t="n"/>
      <c r="B13" s="9" t="n"/>
      <c r="C13" s="9" t="n"/>
      <c r="D13" s="9" t="n"/>
      <c r="E13" s="9" t="n"/>
      <c r="F13" s="9" t="n"/>
      <c r="G13" s="9" t="n"/>
      <c r="H13" s="12">
        <f>IF($B13="","",IFERROR(VLOOKUP($B13,Сферы!$A$2:$J$7,2,FALSE),"сфера не найдена"))</f>
        <v/>
      </c>
      <c r="I13" s="12">
        <f>IF($B13="","",IFERROR(VLOOKUP($B13,Сферы!$A$2:$J$7,3,FALSE)&amp;" / "&amp;VLOOKUP($B13,Сферы!$A$2:$J$7,4,FALSE)&amp;" / "&amp;VLOOKUP($B13,Сферы!$A$2:$J$7,5,FALSE),""))</f>
        <v/>
      </c>
      <c r="J13" s="12">
        <f>IF($B13="","",IFERROR(VLOOKUP($B13,Сферы!$A$2:$J$7,9,FALSE),""))</f>
        <v/>
      </c>
      <c r="K13" s="9" t="n"/>
    </row>
    <row r="14" ht="64" customHeight="1">
      <c r="A14" s="11" t="n"/>
      <c r="B14" s="11" t="n"/>
      <c r="C14" s="11" t="n"/>
      <c r="D14" s="11" t="n"/>
      <c r="E14" s="11" t="n"/>
      <c r="F14" s="11" t="n"/>
      <c r="G14" s="11" t="n"/>
      <c r="H14" s="12">
        <f>IF($B14="","",IFERROR(VLOOKUP($B14,Сферы!$A$2:$J$7,2,FALSE),"сфера не найдена"))</f>
        <v/>
      </c>
      <c r="I14" s="12">
        <f>IF($B14="","",IFERROR(VLOOKUP($B14,Сферы!$A$2:$J$7,3,FALSE)&amp;" / "&amp;VLOOKUP($B14,Сферы!$A$2:$J$7,4,FALSE)&amp;" / "&amp;VLOOKUP($B14,Сферы!$A$2:$J$7,5,FALSE),""))</f>
        <v/>
      </c>
      <c r="J14" s="12">
        <f>IF($B14="","",IFERROR(VLOOKUP($B14,Сферы!$A$2:$J$7,9,FALSE),""))</f>
        <v/>
      </c>
      <c r="K14" s="11" t="n"/>
    </row>
    <row r="15" ht="64" customHeight="1">
      <c r="A15" s="9" t="n"/>
      <c r="B15" s="9" t="n"/>
      <c r="C15" s="9" t="n"/>
      <c r="D15" s="9" t="n"/>
      <c r="E15" s="9" t="n"/>
      <c r="F15" s="9" t="n"/>
      <c r="G15" s="9" t="n"/>
      <c r="H15" s="12">
        <f>IF($B15="","",IFERROR(VLOOKUP($B15,Сферы!$A$2:$J$7,2,FALSE),"сфера не найдена"))</f>
        <v/>
      </c>
      <c r="I15" s="12">
        <f>IF($B15="","",IFERROR(VLOOKUP($B15,Сферы!$A$2:$J$7,3,FALSE)&amp;" / "&amp;VLOOKUP($B15,Сферы!$A$2:$J$7,4,FALSE)&amp;" / "&amp;VLOOKUP($B15,Сферы!$A$2:$J$7,5,FALSE),""))</f>
        <v/>
      </c>
      <c r="J15" s="12">
        <f>IF($B15="","",IFERROR(VLOOKUP($B15,Сферы!$A$2:$J$7,9,FALSE),""))</f>
        <v/>
      </c>
      <c r="K15" s="9" t="n"/>
    </row>
    <row r="16" ht="64" customHeight="1">
      <c r="A16" s="11" t="n"/>
      <c r="B16" s="11" t="n"/>
      <c r="C16" s="11" t="n"/>
      <c r="D16" s="11" t="n"/>
      <c r="E16" s="11" t="n"/>
      <c r="F16" s="11" t="n"/>
      <c r="G16" s="11" t="n"/>
      <c r="H16" s="12">
        <f>IF($B16="","",IFERROR(VLOOKUP($B16,Сферы!$A$2:$J$7,2,FALSE),"сфера не найдена"))</f>
        <v/>
      </c>
      <c r="I16" s="12">
        <f>IF($B16="","",IFERROR(VLOOKUP($B16,Сферы!$A$2:$J$7,3,FALSE)&amp;" / "&amp;VLOOKUP($B16,Сферы!$A$2:$J$7,4,FALSE)&amp;" / "&amp;VLOOKUP($B16,Сферы!$A$2:$J$7,5,FALSE),""))</f>
        <v/>
      </c>
      <c r="J16" s="12">
        <f>IF($B16="","",IFERROR(VLOOKUP($B16,Сферы!$A$2:$J$7,9,FALSE),""))</f>
        <v/>
      </c>
      <c r="K16" s="11" t="n"/>
    </row>
    <row r="17" ht="64" customHeight="1">
      <c r="A17" s="9" t="n"/>
      <c r="B17" s="9" t="n"/>
      <c r="C17" s="9" t="n"/>
      <c r="D17" s="9" t="n"/>
      <c r="E17" s="9" t="n"/>
      <c r="F17" s="9" t="n"/>
      <c r="G17" s="9" t="n"/>
      <c r="H17" s="12">
        <f>IF($B17="","",IFERROR(VLOOKUP($B17,Сферы!$A$2:$J$7,2,FALSE),"сфера не найдена"))</f>
        <v/>
      </c>
      <c r="I17" s="12">
        <f>IF($B17="","",IFERROR(VLOOKUP($B17,Сферы!$A$2:$J$7,3,FALSE)&amp;" / "&amp;VLOOKUP($B17,Сферы!$A$2:$J$7,4,FALSE)&amp;" / "&amp;VLOOKUP($B17,Сферы!$A$2:$J$7,5,FALSE),""))</f>
        <v/>
      </c>
      <c r="J17" s="12">
        <f>IF($B17="","",IFERROR(VLOOKUP($B17,Сферы!$A$2:$J$7,9,FALSE),""))</f>
        <v/>
      </c>
      <c r="K17" s="9" t="n"/>
    </row>
    <row r="18" ht="64" customHeight="1">
      <c r="A18" s="11" t="n"/>
      <c r="B18" s="11" t="n"/>
      <c r="C18" s="11" t="n"/>
      <c r="D18" s="11" t="n"/>
      <c r="E18" s="11" t="n"/>
      <c r="F18" s="11" t="n"/>
      <c r="G18" s="11" t="n"/>
      <c r="H18" s="12">
        <f>IF($B18="","",IFERROR(VLOOKUP($B18,Сферы!$A$2:$J$7,2,FALSE),"сфера не найдена"))</f>
        <v/>
      </c>
      <c r="I18" s="12">
        <f>IF($B18="","",IFERROR(VLOOKUP($B18,Сферы!$A$2:$J$7,3,FALSE)&amp;" / "&amp;VLOOKUP($B18,Сферы!$A$2:$J$7,4,FALSE)&amp;" / "&amp;VLOOKUP($B18,Сферы!$A$2:$J$7,5,FALSE),""))</f>
        <v/>
      </c>
      <c r="J18" s="12">
        <f>IF($B18="","",IFERROR(VLOOKUP($B18,Сферы!$A$2:$J$7,9,FALSE),""))</f>
        <v/>
      </c>
      <c r="K18" s="11" t="n"/>
    </row>
    <row r="19" ht="64" customHeight="1">
      <c r="A19" s="9" t="n"/>
      <c r="B19" s="9" t="n"/>
      <c r="C19" s="9" t="n"/>
      <c r="D19" s="9" t="n"/>
      <c r="E19" s="9" t="n"/>
      <c r="F19" s="9" t="n"/>
      <c r="G19" s="9" t="n"/>
      <c r="H19" s="12">
        <f>IF($B19="","",IFERROR(VLOOKUP($B19,Сферы!$A$2:$J$7,2,FALSE),"сфера не найдена"))</f>
        <v/>
      </c>
      <c r="I19" s="12">
        <f>IF($B19="","",IFERROR(VLOOKUP($B19,Сферы!$A$2:$J$7,3,FALSE)&amp;" / "&amp;VLOOKUP($B19,Сферы!$A$2:$J$7,4,FALSE)&amp;" / "&amp;VLOOKUP($B19,Сферы!$A$2:$J$7,5,FALSE),""))</f>
        <v/>
      </c>
      <c r="J19" s="12">
        <f>IF($B19="","",IFERROR(VLOOKUP($B19,Сферы!$A$2:$J$7,9,FALSE),""))</f>
        <v/>
      </c>
      <c r="K19" s="9" t="n"/>
    </row>
    <row r="20" ht="64" customHeight="1">
      <c r="A20" s="11" t="n"/>
      <c r="B20" s="11" t="n"/>
      <c r="C20" s="11" t="n"/>
      <c r="D20" s="11" t="n"/>
      <c r="E20" s="11" t="n"/>
      <c r="F20" s="11" t="n"/>
      <c r="G20" s="11" t="n"/>
      <c r="H20" s="12">
        <f>IF($B20="","",IFERROR(VLOOKUP($B20,Сферы!$A$2:$J$7,2,FALSE),"сфера не найдена"))</f>
        <v/>
      </c>
      <c r="I20" s="12">
        <f>IF($B20="","",IFERROR(VLOOKUP($B20,Сферы!$A$2:$J$7,3,FALSE)&amp;" / "&amp;VLOOKUP($B20,Сферы!$A$2:$J$7,4,FALSE)&amp;" / "&amp;VLOOKUP($B20,Сферы!$A$2:$J$7,5,FALSE),""))</f>
        <v/>
      </c>
      <c r="J20" s="12">
        <f>IF($B20="","",IFERROR(VLOOKUP($B20,Сферы!$A$2:$J$7,9,FALSE),""))</f>
        <v/>
      </c>
      <c r="K20" s="11" t="n"/>
    </row>
    <row r="21" ht="64" customHeight="1">
      <c r="A21" s="9" t="n"/>
      <c r="B21" s="9" t="n"/>
      <c r="C21" s="9" t="n"/>
      <c r="D21" s="9" t="n"/>
      <c r="E21" s="9" t="n"/>
      <c r="F21" s="9" t="n"/>
      <c r="G21" s="9" t="n"/>
      <c r="H21" s="12">
        <f>IF($B21="","",IFERROR(VLOOKUP($B21,Сферы!$A$2:$J$7,2,FALSE),"сфера не найдена"))</f>
        <v/>
      </c>
      <c r="I21" s="12">
        <f>IF($B21="","",IFERROR(VLOOKUP($B21,Сферы!$A$2:$J$7,3,FALSE)&amp;" / "&amp;VLOOKUP($B21,Сферы!$A$2:$J$7,4,FALSE)&amp;" / "&amp;VLOOKUP($B21,Сферы!$A$2:$J$7,5,FALSE),""))</f>
        <v/>
      </c>
      <c r="J21" s="12">
        <f>IF($B21="","",IFERROR(VLOOKUP($B21,Сферы!$A$2:$J$7,9,FALSE),""))</f>
        <v/>
      </c>
      <c r="K21" s="9" t="n"/>
    </row>
    <row r="22" ht="64" customHeight="1">
      <c r="A22" s="11" t="n"/>
      <c r="B22" s="11" t="n"/>
      <c r="C22" s="11" t="n"/>
      <c r="D22" s="11" t="n"/>
      <c r="E22" s="11" t="n"/>
      <c r="F22" s="11" t="n"/>
      <c r="G22" s="11" t="n"/>
      <c r="H22" s="12">
        <f>IF($B22="","",IFERROR(VLOOKUP($B22,Сферы!$A$2:$J$7,2,FALSE),"сфера не найдена"))</f>
        <v/>
      </c>
      <c r="I22" s="12">
        <f>IF($B22="","",IFERROR(VLOOKUP($B22,Сферы!$A$2:$J$7,3,FALSE)&amp;" / "&amp;VLOOKUP($B22,Сферы!$A$2:$J$7,4,FALSE)&amp;" / "&amp;VLOOKUP($B22,Сферы!$A$2:$J$7,5,FALSE),""))</f>
        <v/>
      </c>
      <c r="J22" s="12">
        <f>IF($B22="","",IFERROR(VLOOKUP($B22,Сферы!$A$2:$J$7,9,FALSE),""))</f>
        <v/>
      </c>
      <c r="K22" s="11" t="n"/>
    </row>
    <row r="23" ht="64" customHeight="1">
      <c r="A23" s="9" t="n"/>
      <c r="B23" s="9" t="n"/>
      <c r="C23" s="9" t="n"/>
      <c r="D23" s="9" t="n"/>
      <c r="E23" s="9" t="n"/>
      <c r="F23" s="9" t="n"/>
      <c r="G23" s="9" t="n"/>
      <c r="H23" s="12">
        <f>IF($B23="","",IFERROR(VLOOKUP($B23,Сферы!$A$2:$J$7,2,FALSE),"сфера не найдена"))</f>
        <v/>
      </c>
      <c r="I23" s="12">
        <f>IF($B23="","",IFERROR(VLOOKUP($B23,Сферы!$A$2:$J$7,3,FALSE)&amp;" / "&amp;VLOOKUP($B23,Сферы!$A$2:$J$7,4,FALSE)&amp;" / "&amp;VLOOKUP($B23,Сферы!$A$2:$J$7,5,FALSE),""))</f>
        <v/>
      </c>
      <c r="J23" s="12">
        <f>IF($B23="","",IFERROR(VLOOKUP($B23,Сферы!$A$2:$J$7,9,FALSE),""))</f>
        <v/>
      </c>
      <c r="K23" s="9" t="n"/>
    </row>
    <row r="24" ht="64" customHeight="1">
      <c r="A24" s="11" t="n"/>
      <c r="B24" s="11" t="n"/>
      <c r="C24" s="11" t="n"/>
      <c r="D24" s="11" t="n"/>
      <c r="E24" s="11" t="n"/>
      <c r="F24" s="11" t="n"/>
      <c r="G24" s="11" t="n"/>
      <c r="H24" s="12">
        <f>IF($B24="","",IFERROR(VLOOKUP($B24,Сферы!$A$2:$J$7,2,FALSE),"сфера не найдена"))</f>
        <v/>
      </c>
      <c r="I24" s="12">
        <f>IF($B24="","",IFERROR(VLOOKUP($B24,Сферы!$A$2:$J$7,3,FALSE)&amp;" / "&amp;VLOOKUP($B24,Сферы!$A$2:$J$7,4,FALSE)&amp;" / "&amp;VLOOKUP($B24,Сферы!$A$2:$J$7,5,FALSE),""))</f>
        <v/>
      </c>
      <c r="J24" s="12">
        <f>IF($B24="","",IFERROR(VLOOKUP($B24,Сферы!$A$2:$J$7,9,FALSE),""))</f>
        <v/>
      </c>
      <c r="K24" s="11" t="n"/>
    </row>
    <row r="25" ht="64" customHeight="1">
      <c r="A25" s="9" t="n"/>
      <c r="B25" s="9" t="n"/>
      <c r="C25" s="9" t="n"/>
      <c r="D25" s="9" t="n"/>
      <c r="E25" s="9" t="n"/>
      <c r="F25" s="9" t="n"/>
      <c r="G25" s="9" t="n"/>
      <c r="H25" s="12">
        <f>IF($B25="","",IFERROR(VLOOKUP($B25,Сферы!$A$2:$J$7,2,FALSE),"сфера не найдена"))</f>
        <v/>
      </c>
      <c r="I25" s="12">
        <f>IF($B25="","",IFERROR(VLOOKUP($B25,Сферы!$A$2:$J$7,3,FALSE)&amp;" / "&amp;VLOOKUP($B25,Сферы!$A$2:$J$7,4,FALSE)&amp;" / "&amp;VLOOKUP($B25,Сферы!$A$2:$J$7,5,FALSE),""))</f>
        <v/>
      </c>
      <c r="J25" s="12">
        <f>IF($B25="","",IFERROR(VLOOKUP($B25,Сферы!$A$2:$J$7,9,FALSE),""))</f>
        <v/>
      </c>
      <c r="K25" s="9" t="n"/>
    </row>
    <row r="26" ht="64" customHeight="1">
      <c r="A26" s="11" t="n"/>
      <c r="B26" s="11" t="n"/>
      <c r="C26" s="11" t="n"/>
      <c r="D26" s="11" t="n"/>
      <c r="E26" s="11" t="n"/>
      <c r="F26" s="11" t="n"/>
      <c r="G26" s="11" t="n"/>
      <c r="H26" s="12">
        <f>IF($B26="","",IFERROR(VLOOKUP($B26,Сферы!$A$2:$J$7,2,FALSE),"сфера не найдена"))</f>
        <v/>
      </c>
      <c r="I26" s="12">
        <f>IF($B26="","",IFERROR(VLOOKUP($B26,Сферы!$A$2:$J$7,3,FALSE)&amp;" / "&amp;VLOOKUP($B26,Сферы!$A$2:$J$7,4,FALSE)&amp;" / "&amp;VLOOKUP($B26,Сферы!$A$2:$J$7,5,FALSE),""))</f>
        <v/>
      </c>
      <c r="J26" s="12">
        <f>IF($B26="","",IFERROR(VLOOKUP($B26,Сферы!$A$2:$J$7,9,FALSE),""))</f>
        <v/>
      </c>
      <c r="K26" s="11" t="n"/>
    </row>
    <row r="27" ht="64" customHeight="1">
      <c r="A27" s="9" t="n"/>
      <c r="B27" s="9" t="n"/>
      <c r="C27" s="9" t="n"/>
      <c r="D27" s="9" t="n"/>
      <c r="E27" s="9" t="n"/>
      <c r="F27" s="9" t="n"/>
      <c r="G27" s="9" t="n"/>
      <c r="H27" s="12">
        <f>IF($B27="","",IFERROR(VLOOKUP($B27,Сферы!$A$2:$J$7,2,FALSE),"сфера не найдена"))</f>
        <v/>
      </c>
      <c r="I27" s="12">
        <f>IF($B27="","",IFERROR(VLOOKUP($B27,Сферы!$A$2:$J$7,3,FALSE)&amp;" / "&amp;VLOOKUP($B27,Сферы!$A$2:$J$7,4,FALSE)&amp;" / "&amp;VLOOKUP($B27,Сферы!$A$2:$J$7,5,FALSE),""))</f>
        <v/>
      </c>
      <c r="J27" s="12">
        <f>IF($B27="","",IFERROR(VLOOKUP($B27,Сферы!$A$2:$J$7,9,FALSE),""))</f>
        <v/>
      </c>
      <c r="K27" s="9" t="n"/>
    </row>
    <row r="28" ht="64" customHeight="1">
      <c r="A28" s="11" t="n"/>
      <c r="B28" s="11" t="n"/>
      <c r="C28" s="11" t="n"/>
      <c r="D28" s="11" t="n"/>
      <c r="E28" s="11" t="n"/>
      <c r="F28" s="11" t="n"/>
      <c r="G28" s="11" t="n"/>
      <c r="H28" s="12">
        <f>IF($B28="","",IFERROR(VLOOKUP($B28,Сферы!$A$2:$J$7,2,FALSE),"сфера не найдена"))</f>
        <v/>
      </c>
      <c r="I28" s="12">
        <f>IF($B28="","",IFERROR(VLOOKUP($B28,Сферы!$A$2:$J$7,3,FALSE)&amp;" / "&amp;VLOOKUP($B28,Сферы!$A$2:$J$7,4,FALSE)&amp;" / "&amp;VLOOKUP($B28,Сферы!$A$2:$J$7,5,FALSE),""))</f>
        <v/>
      </c>
      <c r="J28" s="12">
        <f>IF($B28="","",IFERROR(VLOOKUP($B28,Сферы!$A$2:$J$7,9,FALSE),""))</f>
        <v/>
      </c>
      <c r="K28" s="11" t="n"/>
    </row>
    <row r="29" ht="64" customHeight="1">
      <c r="A29" s="9" t="n"/>
      <c r="B29" s="9" t="n"/>
      <c r="C29" s="9" t="n"/>
      <c r="D29" s="9" t="n"/>
      <c r="E29" s="9" t="n"/>
      <c r="F29" s="9" t="n"/>
      <c r="G29" s="9" t="n"/>
      <c r="H29" s="12">
        <f>IF($B29="","",IFERROR(VLOOKUP($B29,Сферы!$A$2:$J$7,2,FALSE),"сфера не найдена"))</f>
        <v/>
      </c>
      <c r="I29" s="12">
        <f>IF($B29="","",IFERROR(VLOOKUP($B29,Сферы!$A$2:$J$7,3,FALSE)&amp;" / "&amp;VLOOKUP($B29,Сферы!$A$2:$J$7,4,FALSE)&amp;" / "&amp;VLOOKUP($B29,Сферы!$A$2:$J$7,5,FALSE),""))</f>
        <v/>
      </c>
      <c r="J29" s="12">
        <f>IF($B29="","",IFERROR(VLOOKUP($B29,Сферы!$A$2:$J$7,9,FALSE),""))</f>
        <v/>
      </c>
      <c r="K29" s="9" t="n"/>
    </row>
    <row r="30" ht="64" customHeight="1">
      <c r="A30" s="11" t="n"/>
      <c r="B30" s="11" t="n"/>
      <c r="C30" s="11" t="n"/>
      <c r="D30" s="11" t="n"/>
      <c r="E30" s="11" t="n"/>
      <c r="F30" s="11" t="n"/>
      <c r="G30" s="11" t="n"/>
      <c r="H30" s="12">
        <f>IF($B30="","",IFERROR(VLOOKUP($B30,Сферы!$A$2:$J$7,2,FALSE),"сфера не найдена"))</f>
        <v/>
      </c>
      <c r="I30" s="12">
        <f>IF($B30="","",IFERROR(VLOOKUP($B30,Сферы!$A$2:$J$7,3,FALSE)&amp;" / "&amp;VLOOKUP($B30,Сферы!$A$2:$J$7,4,FALSE)&amp;" / "&amp;VLOOKUP($B30,Сферы!$A$2:$J$7,5,FALSE),""))</f>
        <v/>
      </c>
      <c r="J30" s="12">
        <f>IF($B30="","",IFERROR(VLOOKUP($B30,Сферы!$A$2:$J$7,9,FALSE),""))</f>
        <v/>
      </c>
      <c r="K30" s="11" t="n"/>
    </row>
    <row r="31" ht="64" customHeight="1">
      <c r="A31" s="9" t="n"/>
      <c r="B31" s="9" t="n"/>
      <c r="C31" s="9" t="n"/>
      <c r="D31" s="9" t="n"/>
      <c r="E31" s="9" t="n"/>
      <c r="F31" s="9" t="n"/>
      <c r="G31" s="9" t="n"/>
      <c r="H31" s="12">
        <f>IF($B31="","",IFERROR(VLOOKUP($B31,Сферы!$A$2:$J$7,2,FALSE),"сфера не найдена"))</f>
        <v/>
      </c>
      <c r="I31" s="12">
        <f>IF($B31="","",IFERROR(VLOOKUP($B31,Сферы!$A$2:$J$7,3,FALSE)&amp;" / "&amp;VLOOKUP($B31,Сферы!$A$2:$J$7,4,FALSE)&amp;" / "&amp;VLOOKUP($B31,Сферы!$A$2:$J$7,5,FALSE),""))</f>
        <v/>
      </c>
      <c r="J31" s="12">
        <f>IF($B31="","",IFERROR(VLOOKUP($B31,Сферы!$A$2:$J$7,9,FALSE),""))</f>
        <v/>
      </c>
      <c r="K31" s="9" t="n"/>
    </row>
    <row r="32" ht="64" customHeight="1">
      <c r="A32" s="11" t="n"/>
      <c r="B32" s="11" t="n"/>
      <c r="C32" s="11" t="n"/>
      <c r="D32" s="11" t="n"/>
      <c r="E32" s="11" t="n"/>
      <c r="F32" s="11" t="n"/>
      <c r="G32" s="11" t="n"/>
      <c r="H32" s="12">
        <f>IF($B32="","",IFERROR(VLOOKUP($B32,Сферы!$A$2:$J$7,2,FALSE),"сфера не найдена"))</f>
        <v/>
      </c>
      <c r="I32" s="12">
        <f>IF($B32="","",IFERROR(VLOOKUP($B32,Сферы!$A$2:$J$7,3,FALSE)&amp;" / "&amp;VLOOKUP($B32,Сферы!$A$2:$J$7,4,FALSE)&amp;" / "&amp;VLOOKUP($B32,Сферы!$A$2:$J$7,5,FALSE),""))</f>
        <v/>
      </c>
      <c r="J32" s="12">
        <f>IF($B32="","",IFERROR(VLOOKUP($B32,Сферы!$A$2:$J$7,9,FALSE),""))</f>
        <v/>
      </c>
      <c r="K32" s="11" t="n"/>
    </row>
    <row r="33" ht="64" customHeight="1">
      <c r="A33" s="9" t="n"/>
      <c r="B33" s="9" t="n"/>
      <c r="C33" s="9" t="n"/>
      <c r="D33" s="9" t="n"/>
      <c r="E33" s="9" t="n"/>
      <c r="F33" s="9" t="n"/>
      <c r="G33" s="9" t="n"/>
      <c r="H33" s="12">
        <f>IF($B33="","",IFERROR(VLOOKUP($B33,Сферы!$A$2:$J$7,2,FALSE),"сфера не найдена"))</f>
        <v/>
      </c>
      <c r="I33" s="12">
        <f>IF($B33="","",IFERROR(VLOOKUP($B33,Сферы!$A$2:$J$7,3,FALSE)&amp;" / "&amp;VLOOKUP($B33,Сферы!$A$2:$J$7,4,FALSE)&amp;" / "&amp;VLOOKUP($B33,Сферы!$A$2:$J$7,5,FALSE),""))</f>
        <v/>
      </c>
      <c r="J33" s="12">
        <f>IF($B33="","",IFERROR(VLOOKUP($B33,Сферы!$A$2:$J$7,9,FALSE),""))</f>
        <v/>
      </c>
      <c r="K33" s="9" t="n"/>
    </row>
    <row r="34" ht="64" customHeight="1">
      <c r="A34" s="11" t="n"/>
      <c r="B34" s="11" t="n"/>
      <c r="C34" s="11" t="n"/>
      <c r="D34" s="11" t="n"/>
      <c r="E34" s="11" t="n"/>
      <c r="F34" s="11" t="n"/>
      <c r="G34" s="11" t="n"/>
      <c r="H34" s="12">
        <f>IF($B34="","",IFERROR(VLOOKUP($B34,Сферы!$A$2:$J$7,2,FALSE),"сфера не найдена"))</f>
        <v/>
      </c>
      <c r="I34" s="12">
        <f>IF($B34="","",IFERROR(VLOOKUP($B34,Сферы!$A$2:$J$7,3,FALSE)&amp;" / "&amp;VLOOKUP($B34,Сферы!$A$2:$J$7,4,FALSE)&amp;" / "&amp;VLOOKUP($B34,Сферы!$A$2:$J$7,5,FALSE),""))</f>
        <v/>
      </c>
      <c r="J34" s="12">
        <f>IF($B34="","",IFERROR(VLOOKUP($B34,Сферы!$A$2:$J$7,9,FALSE),""))</f>
        <v/>
      </c>
      <c r="K34" s="11" t="n"/>
    </row>
    <row r="35" ht="64" customHeight="1">
      <c r="A35" s="9" t="n"/>
      <c r="B35" s="9" t="n"/>
      <c r="C35" s="9" t="n"/>
      <c r="D35" s="9" t="n"/>
      <c r="E35" s="9" t="n"/>
      <c r="F35" s="9" t="n"/>
      <c r="G35" s="9" t="n"/>
      <c r="H35" s="12">
        <f>IF($B35="","",IFERROR(VLOOKUP($B35,Сферы!$A$2:$J$7,2,FALSE),"сфера не найдена"))</f>
        <v/>
      </c>
      <c r="I35" s="12">
        <f>IF($B35="","",IFERROR(VLOOKUP($B35,Сферы!$A$2:$J$7,3,FALSE)&amp;" / "&amp;VLOOKUP($B35,Сферы!$A$2:$J$7,4,FALSE)&amp;" / "&amp;VLOOKUP($B35,Сферы!$A$2:$J$7,5,FALSE),""))</f>
        <v/>
      </c>
      <c r="J35" s="12">
        <f>IF($B35="","",IFERROR(VLOOKUP($B35,Сферы!$A$2:$J$7,9,FALSE),""))</f>
        <v/>
      </c>
      <c r="K35" s="9" t="n"/>
    </row>
    <row r="36" ht="64" customHeight="1">
      <c r="A36" s="11" t="n"/>
      <c r="B36" s="11" t="n"/>
      <c r="C36" s="11" t="n"/>
      <c r="D36" s="11" t="n"/>
      <c r="E36" s="11" t="n"/>
      <c r="F36" s="11" t="n"/>
      <c r="G36" s="11" t="n"/>
      <c r="H36" s="12">
        <f>IF($B36="","",IFERROR(VLOOKUP($B36,Сферы!$A$2:$J$7,2,FALSE),"сфера не найдена"))</f>
        <v/>
      </c>
      <c r="I36" s="12">
        <f>IF($B36="","",IFERROR(VLOOKUP($B36,Сферы!$A$2:$J$7,3,FALSE)&amp;" / "&amp;VLOOKUP($B36,Сферы!$A$2:$J$7,4,FALSE)&amp;" / "&amp;VLOOKUP($B36,Сферы!$A$2:$J$7,5,FALSE),""))</f>
        <v/>
      </c>
      <c r="J36" s="12">
        <f>IF($B36="","",IFERROR(VLOOKUP($B36,Сферы!$A$2:$J$7,9,FALSE),""))</f>
        <v/>
      </c>
      <c r="K36" s="11" t="n"/>
    </row>
    <row r="37" ht="64" customHeight="1">
      <c r="A37" s="9" t="n"/>
      <c r="B37" s="9" t="n"/>
      <c r="C37" s="9" t="n"/>
      <c r="D37" s="9" t="n"/>
      <c r="E37" s="9" t="n"/>
      <c r="F37" s="9" t="n"/>
      <c r="G37" s="9" t="n"/>
      <c r="H37" s="12">
        <f>IF($B37="","",IFERROR(VLOOKUP($B37,Сферы!$A$2:$J$7,2,FALSE),"сфера не найдена"))</f>
        <v/>
      </c>
      <c r="I37" s="12">
        <f>IF($B37="","",IFERROR(VLOOKUP($B37,Сферы!$A$2:$J$7,3,FALSE)&amp;" / "&amp;VLOOKUP($B37,Сферы!$A$2:$J$7,4,FALSE)&amp;" / "&amp;VLOOKUP($B37,Сферы!$A$2:$J$7,5,FALSE),""))</f>
        <v/>
      </c>
      <c r="J37" s="12">
        <f>IF($B37="","",IFERROR(VLOOKUP($B37,Сферы!$A$2:$J$7,9,FALSE),""))</f>
        <v/>
      </c>
      <c r="K37" s="9" t="n"/>
    </row>
    <row r="38" ht="64" customHeight="1">
      <c r="A38" s="11" t="n"/>
      <c r="B38" s="11" t="n"/>
      <c r="C38" s="11" t="n"/>
      <c r="D38" s="11" t="n"/>
      <c r="E38" s="11" t="n"/>
      <c r="F38" s="11" t="n"/>
      <c r="G38" s="11" t="n"/>
      <c r="H38" s="12">
        <f>IF($B38="","",IFERROR(VLOOKUP($B38,Сферы!$A$2:$J$7,2,FALSE),"сфера не найдена"))</f>
        <v/>
      </c>
      <c r="I38" s="12">
        <f>IF($B38="","",IFERROR(VLOOKUP($B38,Сферы!$A$2:$J$7,3,FALSE)&amp;" / "&amp;VLOOKUP($B38,Сферы!$A$2:$J$7,4,FALSE)&amp;" / "&amp;VLOOKUP($B38,Сферы!$A$2:$J$7,5,FALSE),""))</f>
        <v/>
      </c>
      <c r="J38" s="12">
        <f>IF($B38="","",IFERROR(VLOOKUP($B38,Сферы!$A$2:$J$7,9,FALSE),""))</f>
        <v/>
      </c>
      <c r="K38" s="11" t="n"/>
    </row>
    <row r="39" ht="64" customHeight="1">
      <c r="A39" s="9" t="n"/>
      <c r="B39" s="9" t="n"/>
      <c r="C39" s="9" t="n"/>
      <c r="D39" s="9" t="n"/>
      <c r="E39" s="9" t="n"/>
      <c r="F39" s="9" t="n"/>
      <c r="G39" s="9" t="n"/>
      <c r="H39" s="12">
        <f>IF($B39="","",IFERROR(VLOOKUP($B39,Сферы!$A$2:$J$7,2,FALSE),"сфера не найдена"))</f>
        <v/>
      </c>
      <c r="I39" s="12">
        <f>IF($B39="","",IFERROR(VLOOKUP($B39,Сферы!$A$2:$J$7,3,FALSE)&amp;" / "&amp;VLOOKUP($B39,Сферы!$A$2:$J$7,4,FALSE)&amp;" / "&amp;VLOOKUP($B39,Сферы!$A$2:$J$7,5,FALSE),""))</f>
        <v/>
      </c>
      <c r="J39" s="12">
        <f>IF($B39="","",IFERROR(VLOOKUP($B39,Сферы!$A$2:$J$7,9,FALSE),""))</f>
        <v/>
      </c>
      <c r="K39" s="9" t="n"/>
    </row>
    <row r="40" ht="64" customHeight="1">
      <c r="A40" s="11" t="n"/>
      <c r="B40" s="11" t="n"/>
      <c r="C40" s="11" t="n"/>
      <c r="D40" s="11" t="n"/>
      <c r="E40" s="11" t="n"/>
      <c r="F40" s="11" t="n"/>
      <c r="G40" s="11" t="n"/>
      <c r="H40" s="12">
        <f>IF($B40="","",IFERROR(VLOOKUP($B40,Сферы!$A$2:$J$7,2,FALSE),"сфера не найдена"))</f>
        <v/>
      </c>
      <c r="I40" s="12">
        <f>IF($B40="","",IFERROR(VLOOKUP($B40,Сферы!$A$2:$J$7,3,FALSE)&amp;" / "&amp;VLOOKUP($B40,Сферы!$A$2:$J$7,4,FALSE)&amp;" / "&amp;VLOOKUP($B40,Сферы!$A$2:$J$7,5,FALSE),""))</f>
        <v/>
      </c>
      <c r="J40" s="12">
        <f>IF($B40="","",IFERROR(VLOOKUP($B40,Сферы!$A$2:$J$7,9,FALSE),""))</f>
        <v/>
      </c>
      <c r="K40" s="11" t="n"/>
    </row>
  </sheetData>
  <conditionalFormatting sqref="A2:K40">
    <cfRule type="expression" priority="1" dxfId="0">
      <formula>AND($B2&lt;&gt;"",$K2="")</formula>
    </cfRule>
  </conditionalFormatting>
  <dataValidations count="1">
    <dataValidation sqref="B2:B40" showDropDown="0" showInputMessage="0" showErrorMessage="0" allowBlank="1" errorTitle="Сфера не из списка" error="Выбери одну из шести сфер — иначе ВПР не сработает." type="list">
      <formula1>=Сферы!$A$2:$A$7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6" customWidth="1" min="3" max="3"/>
    <col width="96" customWidth="1" min="4" max="4"/>
  </cols>
  <sheetData>
    <row r="1" ht="32" customHeight="1">
      <c r="A1" s="7" t="inlineStr">
        <is>
          <t>Ключ</t>
        </is>
      </c>
      <c r="B1" s="7" t="inlineStr">
        <is>
          <t>Стр.</t>
        </is>
      </c>
      <c r="C1" s="7" t="inlineStr">
        <is>
          <t>Что это</t>
        </is>
      </c>
      <c r="D1" s="7" t="inlineStr">
        <is>
          <t>Текст (можно править)</t>
        </is>
      </c>
    </row>
    <row r="2" ht="24" customHeight="1">
      <c r="A2" s="8" t="inlineStr">
        <is>
          <t>w_kicker</t>
        </is>
      </c>
      <c r="B2" s="9" t="n">
        <v>2</v>
      </c>
      <c r="C2" s="9" t="inlineStr">
        <is>
          <t>Рубрика</t>
        </is>
      </c>
      <c r="D2" s="9" t="inlineStr">
        <is>
          <t>С чего всё начинается</t>
        </is>
      </c>
    </row>
    <row r="3" ht="24" customHeight="1">
      <c r="A3" s="10" t="inlineStr">
        <is>
          <t>w_title</t>
        </is>
      </c>
      <c r="B3" s="11" t="n">
        <v>2</v>
      </c>
      <c r="C3" s="11" t="inlineStr">
        <is>
          <t>Заголовок</t>
        </is>
      </c>
      <c r="D3" s="11" t="inlineStr">
        <is>
          <t>Почему твоя жизнь — это колесо</t>
        </is>
      </c>
    </row>
    <row r="4" ht="60" customHeight="1">
      <c r="A4" s="8" t="inlineStr">
        <is>
          <t>w_text1</t>
        </is>
      </c>
      <c r="B4" s="9" t="n">
        <v>2</v>
      </c>
      <c r="C4" s="9" t="inlineStr">
        <is>
          <t>Абзац 1</t>
        </is>
      </c>
      <c r="D4" s="9" t="inlineStr">
        <is>
          <t>Представь, что твоя жизнь — это колесо. У него есть спицы: личность, духовность, деньги, отношения, здоровье, смысл. Если все спицы одинаковой длины — колесо ровное, и ты едешь по жизни легко. Если одна спица короче — колесо начинает бить, скрипеть и вилять. Ты вроде бы едешь, но постоянно чувствуешь, что что-то не так.</t>
        </is>
      </c>
    </row>
    <row r="5" ht="45" customHeight="1">
      <c r="A5" s="10" t="inlineStr">
        <is>
          <t>w_text2</t>
        </is>
      </c>
      <c r="B5" s="11" t="n">
        <v>2</v>
      </c>
      <c r="C5" s="11" t="inlineStr">
        <is>
          <t>Абзац 2</t>
        </is>
      </c>
      <c r="D5" s="11" t="inlineStr">
        <is>
          <t>«Колесо баланса» — это простой способ увидеть, какая спица у тебя сейчас «просела». Ты не гадаешь «что со мной не так» — ты просто смотришь на карту и видишь: вот здесь у меня застряла энергия.</t>
        </is>
      </c>
    </row>
    <row r="6" ht="24" customHeight="1">
      <c r="A6" s="8" t="inlineStr">
        <is>
          <t>w_why_title</t>
        </is>
      </c>
      <c r="B6" s="9" t="n">
        <v>2</v>
      </c>
      <c r="C6" s="9" t="inlineStr">
        <is>
          <t>Заголовок списка</t>
        </is>
      </c>
      <c r="D6" s="9" t="inlineStr">
        <is>
          <t>Зачем это нужно</t>
        </is>
      </c>
    </row>
    <row r="7" ht="24" customHeight="1">
      <c r="A7" s="10" t="inlineStr">
        <is>
          <t>w_i1_t</t>
        </is>
      </c>
      <c r="B7" s="11" t="n">
        <v>2</v>
      </c>
      <c r="C7" s="11" t="inlineStr">
        <is>
          <t>Пункт 1 — заголовок</t>
        </is>
      </c>
      <c r="D7" s="11" t="inlineStr">
        <is>
          <t>Чтобы перестать ходить по кругу.</t>
        </is>
      </c>
    </row>
    <row r="8" ht="30" customHeight="1">
      <c r="A8" s="8" t="inlineStr">
        <is>
          <t>w_i1_d</t>
        </is>
      </c>
      <c r="B8" s="9" t="n">
        <v>2</v>
      </c>
      <c r="C8" s="9" t="inlineStr">
        <is>
          <t>Пункт 1 — текст</t>
        </is>
      </c>
      <c r="D8" s="9" t="inlineStr">
        <is>
          <t>Когда ты видишь, где именно «болит», ты перестаёшь разбрасываться и начинаешь действовать точечно.</t>
        </is>
      </c>
    </row>
    <row r="9" ht="24" customHeight="1">
      <c r="A9" s="10" t="inlineStr">
        <is>
          <t>w_i2_t</t>
        </is>
      </c>
      <c r="B9" s="11" t="n">
        <v>2</v>
      </c>
      <c r="C9" s="11" t="inlineStr">
        <is>
          <t>Пункт 2 — заголовок</t>
        </is>
      </c>
      <c r="D9" s="11" t="inlineStr">
        <is>
          <t>Чтобы найти точку входа.</t>
        </is>
      </c>
    </row>
    <row r="10" ht="24" customHeight="1">
      <c r="A10" s="8" t="inlineStr">
        <is>
          <t>w_i2_d</t>
        </is>
      </c>
      <c r="B10" s="9" t="n">
        <v>2</v>
      </c>
      <c r="C10" s="9" t="inlineStr">
        <is>
          <t>Пункт 2 — текст</t>
        </is>
      </c>
      <c r="D10" s="9" t="inlineStr">
        <is>
          <t>Не нужно чинить всё сразу. Достаточно выровнять одну спицу — и колесо поедет ровнее.</t>
        </is>
      </c>
    </row>
    <row r="11" ht="24" customHeight="1">
      <c r="A11" s="10" t="inlineStr">
        <is>
          <t>w_i3_t</t>
        </is>
      </c>
      <c r="B11" s="11" t="n">
        <v>2</v>
      </c>
      <c r="C11" s="11" t="inlineStr">
        <is>
          <t>Пункт 3 — заголовок</t>
        </is>
      </c>
      <c r="D11" s="11" t="inlineStr">
        <is>
          <t>Чтобы понять, куда двигаться.</t>
        </is>
      </c>
    </row>
    <row r="12" ht="24" customHeight="1">
      <c r="A12" s="8" t="inlineStr">
        <is>
          <t>w_i3_d</t>
        </is>
      </c>
      <c r="B12" s="9" t="n">
        <v>2</v>
      </c>
      <c r="C12" s="9" t="inlineStr">
        <is>
          <t>Пункт 3 — текст</t>
        </is>
      </c>
      <c r="D12" s="9" t="inlineStr">
        <is>
          <t>Баланс — это не «идеально по 10 везде». Это когда ты чувствуешь, что едешь, а не буксуешь.</t>
        </is>
      </c>
    </row>
    <row r="13" ht="24" customHeight="1">
      <c r="A13" s="10" t="inlineStr">
        <is>
          <t>w_note</t>
        </is>
      </c>
      <c r="B13" s="11" t="n">
        <v>2</v>
      </c>
      <c r="C13" s="11" t="inlineStr">
        <is>
          <t>Выделенная строка</t>
        </is>
      </c>
      <c r="D13" s="11" t="inlineStr">
        <is>
          <t>Этот разбор — твоя первая карта. Дальше — дело за тобой.</t>
        </is>
      </c>
    </row>
    <row r="14" ht="24" customHeight="1">
      <c r="A14" s="8" t="inlineStr">
        <is>
          <t>z_kicker</t>
        </is>
      </c>
      <c r="B14" s="9" t="n">
        <v>3</v>
      </c>
      <c r="C14" s="9" t="inlineStr">
        <is>
          <t>Рубрика</t>
        </is>
      </c>
      <c r="D14" s="9" t="inlineStr">
        <is>
          <t>Колесо баланса</t>
        </is>
      </c>
    </row>
    <row r="15" ht="24" customHeight="1">
      <c r="A15" s="10" t="inlineStr">
        <is>
          <t>z_title</t>
        </is>
      </c>
      <c r="B15" s="11" t="n">
        <v>3</v>
      </c>
      <c r="C15" s="11" t="inlineStr">
        <is>
          <t>Заголовок</t>
        </is>
      </c>
      <c r="D15" s="11" t="inlineStr">
        <is>
          <t>Зачем это нужно</t>
        </is>
      </c>
    </row>
    <row r="16" ht="24" customHeight="1">
      <c r="A16" s="8" t="inlineStr">
        <is>
          <t>z_note</t>
        </is>
      </c>
      <c r="B16" s="9" t="n">
        <v>3</v>
      </c>
      <c r="C16" s="9" t="inlineStr">
        <is>
          <t>Выделенная строка</t>
        </is>
      </c>
      <c r="D16" s="9" t="inlineStr">
        <is>
          <t>Одна слабая спица тянет всё колесо.</t>
        </is>
      </c>
    </row>
    <row r="17" ht="24" customHeight="1">
      <c r="A17" s="10" t="inlineStr">
        <is>
          <t>a_kicker</t>
        </is>
      </c>
      <c r="B17" s="11" t="n">
        <v>3</v>
      </c>
      <c r="C17" s="11" t="inlineStr">
        <is>
          <t>Рубрика</t>
        </is>
      </c>
      <c r="D17" s="11" t="inlineStr">
        <is>
          <t>Об авторе</t>
        </is>
      </c>
    </row>
    <row r="18" ht="24" customHeight="1">
      <c r="A18" s="8" t="inlineStr">
        <is>
          <t>a_title</t>
        </is>
      </c>
      <c r="B18" s="9" t="n">
        <v>3</v>
      </c>
      <c r="C18" s="9" t="inlineStr">
        <is>
          <t>Имя</t>
        </is>
      </c>
      <c r="D18" s="9" t="inlineStr">
        <is>
          <t>Дарья Косилова</t>
        </is>
      </c>
    </row>
    <row r="19" ht="24" customHeight="1">
      <c r="A19" s="10" t="inlineStr">
        <is>
          <t>a_role1</t>
        </is>
      </c>
      <c r="B19" s="11" t="n">
        <v>3</v>
      </c>
      <c r="C19" s="11" t="inlineStr">
        <is>
          <t>Статус 1</t>
        </is>
      </c>
      <c r="D19" s="11" t="inlineStr">
        <is>
          <t>Специалист по адаптивному интеллекту и эмоциональному состоянию</t>
        </is>
      </c>
    </row>
    <row r="20" ht="24" customHeight="1">
      <c r="A20" s="8" t="inlineStr">
        <is>
          <t>a_role2</t>
        </is>
      </c>
      <c r="B20" s="9" t="n">
        <v>3</v>
      </c>
      <c r="C20" s="9" t="inlineStr">
        <is>
          <t>Статус 2</t>
        </is>
      </c>
      <c r="D20" s="9" t="inlineStr">
        <is>
          <t>Практик по распаковке личности и трансформации</t>
        </is>
      </c>
    </row>
    <row r="21" ht="24" customHeight="1">
      <c r="A21" s="10" t="inlineStr">
        <is>
          <t>a_role3</t>
        </is>
      </c>
      <c r="B21" s="11" t="n">
        <v>3</v>
      </c>
      <c r="C21" s="11" t="inlineStr">
        <is>
          <t>Статус 3</t>
        </is>
      </c>
      <c r="D21" s="11" t="inlineStr">
        <is>
          <t>Кармический нумеролог</t>
        </is>
      </c>
    </row>
    <row r="22" ht="24" customHeight="1">
      <c r="A22" s="8" t="inlineStr">
        <is>
          <t>a_bio_title</t>
        </is>
      </c>
      <c r="B22" s="9" t="n">
        <v>3</v>
      </c>
      <c r="C22" s="9" t="inlineStr">
        <is>
          <t>Подзаголовок</t>
        </is>
      </c>
      <c r="D22" s="9" t="inlineStr">
        <is>
          <t>Обо мне</t>
        </is>
      </c>
    </row>
    <row r="23" ht="60" customHeight="1">
      <c r="A23" s="10" t="inlineStr">
        <is>
          <t>a_bio</t>
        </is>
      </c>
      <c r="B23" s="11" t="n">
        <v>3</v>
      </c>
      <c r="C23" s="11" t="inlineStr">
        <is>
          <t>Абзац</t>
        </is>
      </c>
      <c r="D23" s="11" t="inlineStr">
        <is>
          <t>Я помогаю людям и командам выходить из застоя: находить опору, видеть свои сильные стороны и раскрывать потенциал. Работаю с личными запросами, конфликтами в коллективе и развитием лидеров. Моя задача — вернуть тебе ясность, уверенность и энергию для движения. Не обещаниями, а конкретными шагами, которые можно сделать уже на этой неделе.</t>
        </is>
      </c>
    </row>
    <row r="24" ht="24" customHeight="1">
      <c r="A24" s="8" t="inlineStr">
        <is>
          <t>cover_kicker</t>
        </is>
      </c>
      <c r="B24" s="9" t="n">
        <v>1</v>
      </c>
      <c r="C24" s="9" t="inlineStr">
        <is>
          <t>Надзаголовок</t>
        </is>
      </c>
      <c r="D24" s="9" t="inlineStr">
        <is>
          <t>Экспресс-диагностика</t>
        </is>
      </c>
    </row>
    <row r="25" ht="24" customHeight="1">
      <c r="A25" s="10" t="inlineStr">
        <is>
          <t>cover_name</t>
        </is>
      </c>
      <c r="B25" s="11" t="n">
        <v>1</v>
      </c>
      <c r="C25" s="11" t="inlineStr">
        <is>
          <t>Имя клиента</t>
        </is>
      </c>
      <c r="D25" s="11" t="inlineStr">
        <is>
          <t>{name}</t>
        </is>
      </c>
    </row>
    <row r="26" ht="24" customHeight="1">
      <c r="A26" s="8" t="inlineStr">
        <is>
          <t>cover_meta</t>
        </is>
      </c>
      <c r="B26" s="9" t="n">
        <v>1</v>
      </c>
      <c r="C26" s="9" t="inlineStr">
        <is>
          <t>Строка под именем</t>
        </is>
      </c>
      <c r="D26" s="9" t="inlineStr">
        <is>
          <t>Твой персональный разбор</t>
        </is>
      </c>
    </row>
    <row r="27" ht="24" customHeight="1">
      <c r="A27" s="10" t="inlineStr">
        <is>
          <t>cover_author</t>
        </is>
      </c>
      <c r="B27" s="11" t="n">
        <v>1</v>
      </c>
      <c r="C27" s="11" t="inlineStr">
        <is>
          <t>Подпись автора</t>
        </is>
      </c>
      <c r="D27" s="11" t="inlineStr">
        <is>
          <t>ДАРЬЯ КОСИЛОВА</t>
        </is>
      </c>
    </row>
    <row r="28" ht="24" customHeight="1">
      <c r="A28" s="8" t="inlineStr">
        <is>
          <t>p2_kicker</t>
        </is>
      </c>
      <c r="B28" s="9" t="n">
        <v>2</v>
      </c>
      <c r="C28" s="9" t="inlineStr">
        <is>
          <t>Рубрика</t>
        </is>
      </c>
      <c r="D28" s="9" t="inlineStr">
        <is>
          <t>С чего начинается карта</t>
        </is>
      </c>
    </row>
    <row r="29" ht="24" customHeight="1">
      <c r="A29" s="10" t="inlineStr">
        <is>
          <t>p2_title</t>
        </is>
      </c>
      <c r="B29" s="11" t="n">
        <v>2</v>
      </c>
      <c r="C29" s="11" t="inlineStr">
        <is>
          <t>Заголовок</t>
        </is>
      </c>
      <c r="D29" s="11" t="inlineStr">
        <is>
          <t>Что такое кармическая нумерология и твоя звезда</t>
        </is>
      </c>
    </row>
    <row r="30" ht="30" customHeight="1">
      <c r="A30" s="8" t="inlineStr">
        <is>
          <t>p2_text1</t>
        </is>
      </c>
      <c r="B30" s="9" t="n">
        <v>2</v>
      </c>
      <c r="C30" s="9" t="inlineStr">
        <is>
          <t>Абзац 1</t>
        </is>
      </c>
      <c r="D30" s="9" t="inlineStr">
        <is>
          <t>Кармическая нумерология — это наука о взаимосвязи чисел и жизни человека. Дата рождения — это не случайный набор цифр, а код, в котором зашифрованы твои таланты, уроки и задачи.</t>
        </is>
      </c>
    </row>
    <row r="31" ht="30" customHeight="1">
      <c r="A31" s="10" t="inlineStr">
        <is>
          <t>p2_text2</t>
        </is>
      </c>
      <c r="B31" s="11" t="n">
        <v>2</v>
      </c>
      <c r="C31" s="11" t="inlineStr">
        <is>
          <t>Абзац 2</t>
        </is>
      </c>
      <c r="D31" s="11" t="inlineStr">
        <is>
          <t>«Кармическая звезда» — это метод в кармической нумерологии, который строится на пяти ключевых треугольниках. Плюс шестая сфера — Миссия и смысл.</t>
        </is>
      </c>
    </row>
    <row r="32" ht="30" customHeight="1">
      <c r="A32" s="8" t="inlineStr">
        <is>
          <t>p2_text3</t>
        </is>
      </c>
      <c r="B32" s="9" t="n">
        <v>2</v>
      </c>
      <c r="C32" s="9" t="inlineStr">
        <is>
          <t>Абзац 3</t>
        </is>
      </c>
      <c r="D32" s="9" t="inlineStr">
        <is>
          <t>Это карта твоей жизни. Она показывает, где ты застрял(а), почему, и какой маршрут ведёт к твоему предназначению.</t>
        </is>
      </c>
    </row>
    <row r="33" ht="24" customHeight="1">
      <c r="A33" s="10" t="inlineStr">
        <is>
          <t>p2_note</t>
        </is>
      </c>
      <c r="B33" s="11" t="n">
        <v>2</v>
      </c>
      <c r="C33" s="11" t="inlineStr">
        <is>
          <t>Выделенная строка</t>
        </is>
      </c>
      <c r="D33" s="11" t="inlineStr">
        <is>
          <t>Этот разбор — первый шаг по этой карте.</t>
        </is>
      </c>
    </row>
    <row r="34" ht="24" customHeight="1">
      <c r="A34" s="8" t="inlineStr">
        <is>
          <t>p3_kicker</t>
        </is>
      </c>
      <c r="B34" s="9" t="n">
        <v>3</v>
      </c>
      <c r="C34" s="9" t="inlineStr">
        <is>
          <t>Рубрика</t>
        </is>
      </c>
      <c r="D34" s="9" t="inlineStr">
        <is>
          <t>Шаг 1 · где застряла энергия</t>
        </is>
      </c>
    </row>
    <row r="35" ht="24" customHeight="1">
      <c r="A35" s="10" t="inlineStr">
        <is>
          <t>p3_title</t>
        </is>
      </c>
      <c r="B35" s="11" t="n">
        <v>3</v>
      </c>
      <c r="C35" s="11" t="inlineStr">
        <is>
          <t>Заголовок</t>
        </is>
      </c>
      <c r="D35" s="11" t="inlineStr">
        <is>
          <t>Твоя точка входа</t>
        </is>
      </c>
    </row>
    <row r="36" ht="24" customHeight="1">
      <c r="A36" s="8" t="inlineStr">
        <is>
          <t>p3_lead</t>
        </is>
      </c>
      <c r="B36" s="9" t="n">
        <v>3</v>
      </c>
      <c r="C36" s="9" t="inlineStr">
        <is>
          <t>Подводка</t>
        </is>
      </c>
      <c r="D36" s="9" t="inlineStr">
        <is>
          <t>Ты выбрал(а) сферу:</t>
        </is>
      </c>
    </row>
    <row r="37" ht="30" customHeight="1">
      <c r="A37" s="10" t="inlineStr">
        <is>
          <t>p3_text1</t>
        </is>
      </c>
      <c r="B37" s="11" t="n">
        <v>3</v>
      </c>
      <c r="C37" s="11" t="inlineStr">
        <is>
          <t>Абзац после сферы</t>
        </is>
      </c>
      <c r="D37" s="11" t="inlineStr">
        <is>
          <t>Это значит, что сейчас твоя энергия застряла именно здесь. Это не приговор — это точка роста. Именно с неё мы начнём.</t>
        </is>
      </c>
    </row>
    <row r="38" ht="24" customHeight="1">
      <c r="A38" s="8" t="inlineStr">
        <is>
          <t>p3_box_title</t>
        </is>
      </c>
      <c r="B38" s="9" t="n">
        <v>3</v>
      </c>
      <c r="C38" s="9" t="inlineStr">
        <is>
          <t>Заголовок плашки</t>
        </is>
      </c>
      <c r="D38" s="9" t="inlineStr">
        <is>
          <t>Что это значит на практике</t>
        </is>
      </c>
    </row>
    <row r="39" ht="30" customHeight="1">
      <c r="A39" s="10" t="inlineStr">
        <is>
          <t>p3_box_text</t>
        </is>
      </c>
      <c r="B39" s="11" t="n">
        <v>3</v>
      </c>
      <c r="C39" s="11" t="inlineStr">
        <is>
          <t>Текст плашки</t>
        </is>
      </c>
      <c r="D39" s="11" t="inlineStr">
        <is>
          <t>Ты перестаёшь тратить энергию на чужое и начинаешь вкладывать её туда, где она возвращается. Это не про «стараться сильнее» — это про то, чтобы перестать бороться с собой.</t>
        </is>
      </c>
    </row>
    <row r="40" ht="24" customHeight="1">
      <c r="A40" s="8" t="inlineStr">
        <is>
          <t>p3_item1</t>
        </is>
      </c>
      <c r="B40" s="9" t="n">
        <v>3</v>
      </c>
      <c r="C40" s="9" t="inlineStr">
        <is>
          <t>Пункт 1</t>
        </is>
      </c>
      <c r="D40" s="9" t="inlineStr">
        <is>
          <t>Ты видишь, куда утекает твоя энергия — и почему «всё вроде делаю, а результата нет».</t>
        </is>
      </c>
    </row>
    <row r="41" ht="24" customHeight="1">
      <c r="A41" s="10" t="inlineStr">
        <is>
          <t>p3_item2</t>
        </is>
      </c>
      <c r="B41" s="11" t="n">
        <v>3</v>
      </c>
      <c r="C41" s="11" t="inlineStr">
        <is>
          <t>Пункт 2</t>
        </is>
      </c>
      <c r="D41" s="11" t="inlineStr">
        <is>
          <t>Ты понимаешь, на что обращать внимание в первую очередь, а что можно отложить.</t>
        </is>
      </c>
    </row>
    <row r="42" ht="24" customHeight="1">
      <c r="A42" s="8" t="inlineStr">
        <is>
          <t>p3_item3</t>
        </is>
      </c>
      <c r="B42" s="9" t="n">
        <v>3</v>
      </c>
      <c r="C42" s="9" t="inlineStr">
        <is>
          <t>Пункт 3</t>
        </is>
      </c>
      <c r="D42" s="9" t="inlineStr">
        <is>
          <t>Ты получаешь конкретный первый шаг, который можно сделать уже на этой неделе.</t>
        </is>
      </c>
    </row>
    <row r="43" ht="24" customHeight="1">
      <c r="A43" s="10" t="inlineStr">
        <is>
          <t>p4_kicker</t>
        </is>
      </c>
      <c r="B43" s="11" t="n">
        <v>4</v>
      </c>
      <c r="C43" s="11" t="inlineStr">
        <is>
          <t>Рубрика</t>
        </is>
      </c>
      <c r="D43" s="11" t="inlineStr">
        <is>
          <t>Шаг 2 · что повторяется</t>
        </is>
      </c>
    </row>
    <row r="44" ht="24" customHeight="1">
      <c r="A44" s="8" t="inlineStr">
        <is>
          <t>p4_title</t>
        </is>
      </c>
      <c r="B44" s="9" t="n">
        <v>4</v>
      </c>
      <c r="C44" s="9" t="inlineStr">
        <is>
          <t>Заголовок</t>
        </is>
      </c>
      <c r="D44" s="9" t="inlineStr">
        <is>
          <t>Твоя главная ошибка</t>
        </is>
      </c>
    </row>
    <row r="45" ht="24" customHeight="1">
      <c r="A45" s="10" t="inlineStr">
        <is>
          <t>p4_lead</t>
        </is>
      </c>
      <c r="B45" s="11" t="n">
        <v>4</v>
      </c>
      <c r="C45" s="11" t="inlineStr">
        <is>
          <t>Подводка</t>
        </is>
      </c>
      <c r="D45" s="11" t="inlineStr">
        <is>
          <t>Ты сам(а) говоришь, что ходишь по кругу в ситуации:</t>
        </is>
      </c>
    </row>
    <row r="46" ht="30" customHeight="1">
      <c r="A46" s="8" t="inlineStr">
        <is>
          <t>p4_text1</t>
        </is>
      </c>
      <c r="B46" s="9" t="n">
        <v>4</v>
      </c>
      <c r="C46" s="9" t="inlineStr">
        <is>
          <t>Абзац после цитаты</t>
        </is>
      </c>
      <c r="D46" s="9" t="inlineStr">
        <is>
          <t>Вот как это работает: пока ты не увидишь этот сценарий — ты будешь повторять его снова и снова. Это не твоя вина. Это просто привычка, которую можно изменить.</t>
        </is>
      </c>
    </row>
    <row r="47" ht="24" customHeight="1">
      <c r="A47" s="10" t="inlineStr">
        <is>
          <t>p4_item1_t</t>
        </is>
      </c>
      <c r="B47" s="11" t="n">
        <v>4</v>
      </c>
      <c r="C47" s="11" t="inlineStr">
        <is>
          <t>Пункт 1 — заголовок</t>
        </is>
      </c>
      <c r="D47" s="11" t="inlineStr">
        <is>
          <t>Ты действуешь из старой роли.</t>
        </is>
      </c>
    </row>
    <row r="48" ht="24" customHeight="1">
      <c r="A48" s="8" t="inlineStr">
        <is>
          <t>p4_item1_d</t>
        </is>
      </c>
      <c r="B48" s="9" t="n">
        <v>4</v>
      </c>
      <c r="C48" s="9" t="inlineStr">
        <is>
          <t>Пункт 1 — текст</t>
        </is>
      </c>
      <c r="D48" s="9" t="inlineStr">
        <is>
          <t>Внутри уже есть готовый ответ — и он срабатывает быстрее, чем ты успеваешь подумать.</t>
        </is>
      </c>
    </row>
    <row r="49" ht="24" customHeight="1">
      <c r="A49" s="10" t="inlineStr">
        <is>
          <t>p4_item2_t</t>
        </is>
      </c>
      <c r="B49" s="11" t="n">
        <v>4</v>
      </c>
      <c r="C49" s="11" t="inlineStr">
        <is>
          <t>Пункт 2 — заголовок</t>
        </is>
      </c>
      <c r="D49" s="11" t="inlineStr">
        <is>
          <t>Ты выбираешь знакомое, а не нужное.</t>
        </is>
      </c>
    </row>
    <row r="50" ht="24" customHeight="1">
      <c r="A50" s="8" t="inlineStr">
        <is>
          <t>p4_item2_d</t>
        </is>
      </c>
      <c r="B50" s="9" t="n">
        <v>4</v>
      </c>
      <c r="C50" s="9" t="inlineStr">
        <is>
          <t>Пункт 2 — текст</t>
        </is>
      </c>
      <c r="D50" s="9" t="inlineStr">
        <is>
          <t>Знакомое кажется безопасным, даже когда приносит боль.</t>
        </is>
      </c>
    </row>
    <row r="51" ht="24" customHeight="1">
      <c r="A51" s="10" t="inlineStr">
        <is>
          <t>p4_item3_t</t>
        </is>
      </c>
      <c r="B51" s="11" t="n">
        <v>4</v>
      </c>
      <c r="C51" s="11" t="inlineStr">
        <is>
          <t>Пункт 3 — заголовок</t>
        </is>
      </c>
      <c r="D51" s="11" t="inlineStr">
        <is>
          <t>Ты ждёшь, что изменится само.</t>
        </is>
      </c>
    </row>
    <row r="52" ht="24" customHeight="1">
      <c r="A52" s="8" t="inlineStr">
        <is>
          <t>p4_item3_d</t>
        </is>
      </c>
      <c r="B52" s="9" t="n">
        <v>4</v>
      </c>
      <c r="C52" s="9" t="inlineStr">
        <is>
          <t>Пункт 3 — текст</t>
        </is>
      </c>
      <c r="D52" s="9" t="inlineStr">
        <is>
          <t>Но сценарий держится на твоих же действиях — значит, его можно переписать.</t>
        </is>
      </c>
    </row>
    <row r="53" ht="30" customHeight="1">
      <c r="A53" s="10" t="inlineStr">
        <is>
          <t>p4_conclusion</t>
        </is>
      </c>
      <c r="B53" s="11" t="n">
        <v>4</v>
      </c>
      <c r="C53" s="11" t="inlineStr">
        <is>
          <t>Вывод</t>
        </is>
      </c>
      <c r="D53" s="11" t="inlineStr">
        <is>
          <t>Хорошая новость: то, что повторяется, — можно изменить. И начинается это с первого честного шага.</t>
        </is>
      </c>
    </row>
    <row r="54" ht="24" customHeight="1">
      <c r="A54" s="8" t="inlineStr">
        <is>
          <t>p5_kicker</t>
        </is>
      </c>
      <c r="B54" s="9" t="n">
        <v>5</v>
      </c>
      <c r="C54" s="9" t="inlineStr">
        <is>
          <t>Рубрика</t>
        </is>
      </c>
      <c r="D54" s="9" t="inlineStr">
        <is>
          <t>Шаг 3 · с чем работать</t>
        </is>
      </c>
    </row>
    <row r="55" ht="24" customHeight="1">
      <c r="A55" s="10" t="inlineStr">
        <is>
          <t>p5_title</t>
        </is>
      </c>
      <c r="B55" s="11" t="n">
        <v>5</v>
      </c>
      <c r="C55" s="11" t="inlineStr">
        <is>
          <t>Заголовок</t>
        </is>
      </c>
      <c r="D55" s="11" t="inlineStr">
        <is>
          <t>Твой запрос</t>
        </is>
      </c>
    </row>
    <row r="56" ht="24" customHeight="1">
      <c r="A56" s="8" t="inlineStr">
        <is>
          <t>p5_req1</t>
        </is>
      </c>
      <c r="B56" s="9" t="n">
        <v>5</v>
      </c>
      <c r="C56" s="9" t="inlineStr">
        <is>
          <t>Строка запроса 1</t>
        </is>
      </c>
      <c r="D56" s="9" t="inlineStr">
        <is>
          <t>Я хочу {a3},</t>
        </is>
      </c>
    </row>
    <row r="57" ht="24" customHeight="1">
      <c r="A57" s="10" t="inlineStr">
        <is>
          <t>p5_req2</t>
        </is>
      </c>
      <c r="B57" s="11" t="n">
        <v>5</v>
      </c>
      <c r="C57" s="11" t="inlineStr">
        <is>
          <t>Строка запроса 2</t>
        </is>
      </c>
      <c r="D57" s="11" t="inlineStr">
        <is>
          <t>но мне мешает вот что: {a2}</t>
        </is>
      </c>
    </row>
    <row r="58" ht="24" customHeight="1">
      <c r="A58" s="8" t="inlineStr">
        <is>
          <t>p5_req3</t>
        </is>
      </c>
      <c r="B58" s="9" t="n">
        <v>5</v>
      </c>
      <c r="C58" s="9" t="inlineStr">
        <is>
          <t>Строка запроса 3</t>
        </is>
      </c>
      <c r="D58" s="9" t="inlineStr">
        <is>
          <t>Я готов(а) работать через {line}, чтобы получить свой результат.</t>
        </is>
      </c>
    </row>
    <row r="59" ht="24" customHeight="1">
      <c r="A59" s="10" t="inlineStr">
        <is>
          <t>p5_box_title</t>
        </is>
      </c>
      <c r="B59" s="11" t="n">
        <v>5</v>
      </c>
      <c r="C59" s="11" t="inlineStr">
        <is>
          <t>Заголовок плашки</t>
        </is>
      </c>
      <c r="D59" s="11" t="inlineStr">
        <is>
          <t>Твоя линия духа — через что работать</t>
        </is>
      </c>
    </row>
    <row r="60" ht="30" customHeight="1">
      <c r="A60" s="8" t="inlineStr">
        <is>
          <t>p5_note</t>
        </is>
      </c>
      <c r="B60" s="9" t="n">
        <v>5</v>
      </c>
      <c r="C60" s="9" t="inlineStr">
        <is>
          <t>Сноска</t>
        </is>
      </c>
      <c r="D60" s="9" t="inlineStr">
        <is>
          <t>Прочитай этот запрос вслух. Если внутри что-то откликается или, наоборот, сжимается — значит, мы попали точно. Тело не врёт: оно всегда реагирует на правду о тебе.</t>
        </is>
      </c>
    </row>
    <row r="61" ht="24" customHeight="1">
      <c r="A61" s="10" t="inlineStr">
        <is>
          <t>p6_kicker</t>
        </is>
      </c>
      <c r="B61" s="11" t="n">
        <v>6</v>
      </c>
      <c r="C61" s="11" t="inlineStr">
        <is>
          <t>Рубрика</t>
        </is>
      </c>
      <c r="D61" s="11" t="inlineStr">
        <is>
          <t>От карты к действию</t>
        </is>
      </c>
    </row>
    <row r="62" ht="24" customHeight="1">
      <c r="A62" s="8" t="inlineStr">
        <is>
          <t>p6_title</t>
        </is>
      </c>
      <c r="B62" s="9" t="n">
        <v>6</v>
      </c>
      <c r="C62" s="9" t="inlineStr">
        <is>
          <t>Заголовок</t>
        </is>
      </c>
      <c r="D62" s="9" t="inlineStr">
        <is>
          <t>Что такое «три шага» и зачем они нужны</t>
        </is>
      </c>
    </row>
    <row r="63" ht="30" customHeight="1">
      <c r="A63" s="10" t="inlineStr">
        <is>
          <t>p6_text1</t>
        </is>
      </c>
      <c r="B63" s="11" t="n">
        <v>6</v>
      </c>
      <c r="C63" s="11" t="inlineStr">
        <is>
          <t>Абзац 1</t>
        </is>
      </c>
      <c r="D63" s="11" t="inlineStr">
        <is>
          <t>Ты уже увидел(а) свою точку входа и главную ошибку. Но знать — недостаточно. Чтобы энергия сдвинулась с места, нужно действие. Не большое, не героическое — маленькое, но конкретное.</t>
        </is>
      </c>
    </row>
    <row r="64" ht="30" customHeight="1">
      <c r="A64" s="8" t="inlineStr">
        <is>
          <t>p6_text2</t>
        </is>
      </c>
      <c r="B64" s="9" t="n">
        <v>6</v>
      </c>
      <c r="C64" s="9" t="inlineStr">
        <is>
          <t>Абзац 2</t>
        </is>
      </c>
      <c r="D64" s="9" t="inlineStr">
        <is>
          <t>Поэтому я даю тебе три шага на неделю. Это не «домашка» и не «задание на оценку». Это твой первый сдвиг. Вот почему их именно три:</t>
        </is>
      </c>
    </row>
    <row r="65" ht="24" customHeight="1">
      <c r="A65" s="10" t="inlineStr">
        <is>
          <t>p6_step1_t</t>
        </is>
      </c>
      <c r="B65" s="11" t="n">
        <v>6</v>
      </c>
      <c r="C65" s="11" t="inlineStr">
        <is>
          <t>Шаг 1 — заголовок</t>
        </is>
      </c>
      <c r="D65" s="11" t="inlineStr">
        <is>
          <t>Первый шаг — это осознание.</t>
        </is>
      </c>
    </row>
    <row r="66" ht="30" customHeight="1">
      <c r="A66" s="8" t="inlineStr">
        <is>
          <t>p6_step1_d</t>
        </is>
      </c>
      <c r="B66" s="9" t="n">
        <v>6</v>
      </c>
      <c r="C66" s="9" t="inlineStr">
        <is>
          <t>Шаг 1 — текст</t>
        </is>
      </c>
      <c r="D66" s="9" t="inlineStr">
        <is>
          <t>Ты делаешь что-то, что возвращает тебе контакт с собой. Он нужен, чтобы ты увидел(а) свою ситуацию со стороны.</t>
        </is>
      </c>
    </row>
    <row r="67" ht="24" customHeight="1">
      <c r="A67" s="10" t="inlineStr">
        <is>
          <t>p6_step2_t</t>
        </is>
      </c>
      <c r="B67" s="11" t="n">
        <v>6</v>
      </c>
      <c r="C67" s="11" t="inlineStr">
        <is>
          <t>Шаг 2 — заголовок</t>
        </is>
      </c>
      <c r="D67" s="11" t="inlineStr">
        <is>
          <t>Второй шаг — это действие.</t>
        </is>
      </c>
    </row>
    <row r="68" ht="30" customHeight="1">
      <c r="A68" s="8" t="inlineStr">
        <is>
          <t>p6_step2_d</t>
        </is>
      </c>
      <c r="B68" s="9" t="n">
        <v>6</v>
      </c>
      <c r="C68" s="9" t="inlineStr">
        <is>
          <t>Шаг 2 — текст</t>
        </is>
      </c>
      <c r="D68" s="9" t="inlineStr">
        <is>
          <t>Ты делаешь что-то, что обычно не делаешь. Он нужен, чтобы почувствовать, что ты можешь по-другому.</t>
        </is>
      </c>
    </row>
    <row r="69" ht="24" customHeight="1">
      <c r="A69" s="10" t="inlineStr">
        <is>
          <t>p6_step3_t</t>
        </is>
      </c>
      <c r="B69" s="11" t="n">
        <v>6</v>
      </c>
      <c r="C69" s="11" t="inlineStr">
        <is>
          <t>Шаг 3 — заголовок</t>
        </is>
      </c>
      <c r="D69" s="11" t="inlineStr">
        <is>
          <t>Третий шаг — это закрепление.</t>
        </is>
      </c>
    </row>
    <row r="70" ht="24" customHeight="1">
      <c r="A70" s="8" t="inlineStr">
        <is>
          <t>p6_step3_d</t>
        </is>
      </c>
      <c r="B70" s="9" t="n">
        <v>6</v>
      </c>
      <c r="C70" s="9" t="inlineStr">
        <is>
          <t>Шаг 3 — текст</t>
        </is>
      </c>
      <c r="D70" s="9" t="inlineStr">
        <is>
          <t>Ты делаешь что-то, что оставляет след. Он нужен, чтобы новое поведение стало привычкой.</t>
        </is>
      </c>
    </row>
    <row r="71" ht="24" customHeight="1">
      <c r="A71" s="10" t="inlineStr">
        <is>
          <t>p6_box_title</t>
        </is>
      </c>
      <c r="B71" s="11" t="n">
        <v>6</v>
      </c>
      <c r="C71" s="11" t="inlineStr">
        <is>
          <t>Заголовок плашки</t>
        </is>
      </c>
      <c r="D71" s="11" t="inlineStr">
        <is>
          <t>Важно</t>
        </is>
      </c>
    </row>
    <row r="72" ht="30" customHeight="1">
      <c r="A72" s="8" t="inlineStr">
        <is>
          <t>p6_box_text</t>
        </is>
      </c>
      <c r="B72" s="9" t="n">
        <v>6</v>
      </c>
      <c r="C72" s="9" t="inlineStr">
        <is>
          <t>Текст плашки</t>
        </is>
      </c>
      <c r="D72" s="9" t="inlineStr">
        <is>
          <t>Три шага держатся друг за друга: осознание без действия не двигает, действие без закрепления не остаётся. Делай по маленькому шагу в каждой точке — и колесо поедет ровнее.</t>
        </is>
      </c>
    </row>
    <row r="73" ht="24" customHeight="1">
      <c r="A73" s="10" t="inlineStr">
        <is>
          <t>p7_kicker</t>
        </is>
      </c>
      <c r="B73" s="11" t="n">
        <v>7</v>
      </c>
      <c r="C73" s="11" t="inlineStr">
        <is>
          <t>Рубрика</t>
        </is>
      </c>
      <c r="D73" s="11" t="inlineStr">
        <is>
          <t>Сфера: {sphere}</t>
        </is>
      </c>
    </row>
    <row r="74" ht="24" customHeight="1">
      <c r="A74" s="8" t="inlineStr">
        <is>
          <t>p7_title</t>
        </is>
      </c>
      <c r="B74" s="9" t="n">
        <v>7</v>
      </c>
      <c r="C74" s="9" t="inlineStr">
        <is>
          <t>Заголовок</t>
        </is>
      </c>
      <c r="D74" s="9" t="inlineStr">
        <is>
          <t>Твои три шага на неделю</t>
        </is>
      </c>
    </row>
    <row r="75" ht="24" customHeight="1">
      <c r="A75" s="10" t="inlineStr">
        <is>
          <t>p7_lead</t>
        </is>
      </c>
      <c r="B75" s="11" t="n">
        <v>7</v>
      </c>
      <c r="C75" s="11" t="inlineStr">
        <is>
          <t>Подводка</t>
        </is>
      </c>
      <c r="D75" s="11" t="inlineStr">
        <is>
          <t>Вот что ты можешь сделать уже на этой неделе. Просто, конкретно, без эзотерики.</t>
        </is>
      </c>
    </row>
    <row r="76" ht="24" customHeight="1">
      <c r="A76" s="8" t="inlineStr">
        <is>
          <t>p7_box_title</t>
        </is>
      </c>
      <c r="B76" s="9" t="n">
        <v>7</v>
      </c>
      <c r="C76" s="9" t="inlineStr">
        <is>
          <t>Заголовок плашки</t>
        </is>
      </c>
      <c r="D76" s="9" t="inlineStr">
        <is>
          <t>Почему эти шаги</t>
        </is>
      </c>
    </row>
    <row r="77" ht="30" customHeight="1">
      <c r="A77" s="10" t="inlineStr">
        <is>
          <t>p7_note</t>
        </is>
      </c>
      <c r="B77" s="11" t="n">
        <v>7</v>
      </c>
      <c r="C77" s="11" t="inlineStr">
        <is>
          <t>Сноска</t>
        </is>
      </c>
      <c r="D77" s="11" t="inlineStr">
        <is>
          <t>Три шага работают вместе: по маленькому действию в каждом — и колесо поедет ровно. Потом напиши мне в Telegram @DaryaKosilova — что получилось.</t>
        </is>
      </c>
    </row>
    <row r="78" ht="24" customHeight="1">
      <c r="A78" s="8" t="inlineStr">
        <is>
          <t>p8_kicker</t>
        </is>
      </c>
      <c r="B78" s="9" t="n">
        <v>8</v>
      </c>
      <c r="C78" s="9" t="inlineStr">
        <is>
          <t>Рубрика</t>
        </is>
      </c>
      <c r="D78" s="9" t="inlineStr">
        <is>
          <t>Твой первый шаг</t>
        </is>
      </c>
    </row>
    <row r="79" ht="24" customHeight="1">
      <c r="A79" s="10" t="inlineStr">
        <is>
          <t>p8_title</t>
        </is>
      </c>
      <c r="B79" s="11" t="n">
        <v>8</v>
      </c>
      <c r="C79" s="11" t="inlineStr">
        <is>
          <t>Заголовок</t>
        </is>
      </c>
      <c r="D79" s="11" t="inlineStr">
        <is>
          <t>Держи три шага в балансе</t>
        </is>
      </c>
    </row>
    <row r="80" ht="30" customHeight="1">
      <c r="A80" s="8" t="inlineStr">
        <is>
          <t>p8_lead</t>
        </is>
      </c>
      <c r="B80" s="9" t="n">
        <v>8</v>
      </c>
      <c r="C80" s="9" t="inlineStr">
        <is>
          <t>Абзац 1</t>
        </is>
      </c>
      <c r="D80" s="9" t="inlineStr">
        <is>
          <t>Колесо выравнивается не одной спицей, а тремя. В течение семи дней делай по маленькому действию в каждой точке разбора — и оно поедет ровно.</t>
        </is>
      </c>
    </row>
    <row r="81" ht="24" customHeight="1">
      <c r="A81" s="10" t="inlineStr">
        <is>
          <t>p8_item1</t>
        </is>
      </c>
      <c r="B81" s="11" t="n">
        <v>8</v>
      </c>
      <c r="C81" s="11" t="inlineStr">
        <is>
          <t>Пункт 1</t>
        </is>
      </c>
      <c r="D81" s="11" t="inlineStr">
        <is>
          <t>Среда: по одному маленькому действию в каждой из трёх точек</t>
        </is>
      </c>
    </row>
    <row r="82" ht="24" customHeight="1">
      <c r="A82" s="8" t="inlineStr">
        <is>
          <t>p8_item2</t>
        </is>
      </c>
      <c r="B82" s="9" t="n">
        <v>8</v>
      </c>
      <c r="C82" s="9" t="inlineStr">
        <is>
          <t>Пункт 2</t>
        </is>
      </c>
      <c r="D82" s="9" t="inlineStr">
        <is>
          <t>Суббота: отметь, что изменилось в ощущениях и в результате</t>
        </is>
      </c>
    </row>
    <row r="83" ht="24" customHeight="1">
      <c r="A83" s="10" t="inlineStr">
        <is>
          <t>p8_item3</t>
        </is>
      </c>
      <c r="B83" s="11" t="n">
        <v>8</v>
      </c>
      <c r="C83" s="11" t="inlineStr">
        <is>
          <t>Пункт 3</t>
        </is>
      </c>
      <c r="D83" s="11" t="inlineStr">
        <is>
          <t>Через неделю: вернись к разбору и сверь — колесо поехало ровнее?</t>
        </is>
      </c>
    </row>
    <row r="84" ht="24" customHeight="1">
      <c r="A84" s="8" t="inlineStr">
        <is>
          <t>p8_box_title</t>
        </is>
      </c>
      <c r="B84" s="9" t="n">
        <v>8</v>
      </c>
      <c r="C84" s="9" t="inlineStr">
        <is>
          <t>Заголовок плашки</t>
        </is>
      </c>
      <c r="D84" s="9" t="inlineStr">
        <is>
          <t>Если нужна рука на этом пути</t>
        </is>
      </c>
    </row>
    <row r="85" ht="24" customHeight="1">
      <c r="A85" s="10" t="inlineStr">
        <is>
          <t>p8_box_cta</t>
        </is>
      </c>
      <c r="B85" s="11" t="n">
        <v>8</v>
      </c>
      <c r="C85" s="11" t="inlineStr">
        <is>
          <t>Текст кнопки/ссылки</t>
        </is>
      </c>
      <c r="D85" s="11" t="inlineStr">
        <is>
          <t>[ссылка]</t>
        </is>
      </c>
    </row>
    <row r="86" ht="24" customHeight="1">
      <c r="A86" s="8" t="inlineStr">
        <is>
          <t>p8_sign</t>
        </is>
      </c>
      <c r="B86" s="9" t="n">
        <v>8</v>
      </c>
      <c r="C86" s="9" t="inlineStr">
        <is>
          <t>Подпись</t>
        </is>
      </c>
      <c r="D86" s="9" t="inlineStr">
        <is>
          <t>Всё начинается с тебя.</t>
        </is>
      </c>
    </row>
    <row r="88">
      <c r="A88" s="3" t="inlineStr">
        <is>
          <t>Плейсхолдеры</t>
        </is>
      </c>
    </row>
    <row r="89">
      <c r="A89" s="13" t="inlineStr">
        <is>
          <t>{name} — имя · {date} — дата · {sphere} — сфера · {a2} — ответ 2 (или универсальный) · {a3} — ответ 3 · {line} — линия духа · {why} — почему эти шаги</t>
        </is>
      </c>
    </row>
  </sheetData>
  <autoFilter ref="A1:D86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56" customWidth="1" min="3" max="3"/>
  </cols>
  <sheetData>
    <row r="1" ht="30" customHeight="1">
      <c r="A1" s="7" t="inlineStr">
        <is>
          <t>Параметр</t>
        </is>
      </c>
      <c r="B1" s="7" t="inlineStr">
        <is>
          <t>Значение</t>
        </is>
      </c>
      <c r="C1" s="7" t="inlineStr">
        <is>
          <t>Зачем</t>
        </is>
      </c>
    </row>
    <row r="2" ht="26" customHeight="1">
      <c r="A2" s="14" t="inlineStr">
        <is>
          <t>author_name</t>
        </is>
      </c>
      <c r="B2" s="15" t="inlineStr">
        <is>
          <t>Дарья Косилова</t>
        </is>
      </c>
      <c r="C2" s="16" t="inlineStr">
        <is>
          <t>Подпись на обложке и на 8-й странице</t>
        </is>
      </c>
    </row>
    <row r="3" ht="26" customHeight="1">
      <c r="A3" s="17" t="inlineStr">
        <is>
          <t>author_sign</t>
        </is>
      </c>
      <c r="B3" s="18" t="inlineStr">
        <is>
          <t>нумеролог · автор метода «Твоя кармическая точка»</t>
        </is>
      </c>
      <c r="C3" s="19" t="inlineStr">
        <is>
          <t>Строка под подписью</t>
        </is>
      </c>
    </row>
    <row r="4" ht="26" customHeight="1">
      <c r="A4" s="14" t="inlineStr">
        <is>
          <t>book_link</t>
        </is>
      </c>
      <c r="B4" s="15" t="inlineStr">
        <is>
          <t>https://t.me/DaryaKosilova</t>
        </is>
      </c>
      <c r="C4" s="16" t="inlineStr">
        <is>
          <t>Подставляется в &lt;&lt;Ссылка на запись&gt;&gt;</t>
        </is>
      </c>
    </row>
    <row r="5" ht="26" customHeight="1">
      <c r="A5" s="17" t="inlineStr">
        <is>
          <t>telegram</t>
        </is>
      </c>
      <c r="B5" s="18" t="inlineStr">
        <is>
          <t>https://t.me/DaryaKosilova</t>
        </is>
      </c>
      <c r="C5" s="19" t="inlineStr">
        <is>
          <t>Кнопки и подписи</t>
        </is>
      </c>
    </row>
    <row r="6" ht="26" customHeight="1">
      <c r="A6" s="14" t="inlineStr">
        <is>
          <t>email</t>
        </is>
      </c>
      <c r="B6" s="15" t="inlineStr">
        <is>
          <t>Dasha2806_94@mail.ru</t>
        </is>
      </c>
      <c r="C6" s="16" t="inlineStr">
        <is>
          <t>Обратный адрес и подпись</t>
        </is>
      </c>
    </row>
    <row r="7" ht="26" customHeight="1">
      <c r="A7" s="17" t="inlineStr">
        <is>
          <t>phone</t>
        </is>
      </c>
      <c r="B7" s="18" t="inlineStr">
        <is>
          <t>+7 952 008-24-99</t>
        </is>
      </c>
      <c r="C7" s="19" t="inlineStr">
        <is>
          <t>Футер, страница</t>
        </is>
      </c>
    </row>
    <row r="8" ht="26" customHeight="1">
      <c r="A8" s="14" t="inlineStr">
        <is>
          <t>template_id</t>
        </is>
      </c>
      <c r="B8" s="15" t="inlineStr">
        <is>
          <t>ВСТАВЬ_ID_ШАБЛОНА_GOOGLE_ДОКУМЕНТА</t>
        </is>
      </c>
      <c r="C8" s="16" t="inlineStr">
        <is>
          <t>ID шаблона для Apps Script</t>
        </is>
      </c>
    </row>
    <row r="9" ht="26" customHeight="1">
      <c r="A9" s="17" t="inlineStr">
        <is>
          <t>email_subject</t>
        </is>
      </c>
      <c r="B9" s="18" t="inlineStr">
        <is>
          <t>{name}, твой разбор «Твоя кармическая точка» готов</t>
        </is>
      </c>
      <c r="C9" s="19" t="inlineStr">
        <is>
          <t>Тема письма клиенту</t>
        </is>
      </c>
    </row>
    <row r="10" ht="26" customHeight="1">
      <c r="A10" s="14" t="inlineStr">
        <is>
          <t>min_words</t>
        </is>
      </c>
      <c r="B10" s="15" t="inlineStr">
        <is>
          <t>3</t>
        </is>
      </c>
      <c r="C10" s="16" t="inlineStr">
        <is>
          <t>Если в ответе 2 меньше слов — берём универсальную формулировку</t>
        </is>
      </c>
    </row>
    <row r="11" ht="26" customHeight="1">
      <c r="A11" s="17" t="inlineStr">
        <is>
          <t>privacy_url</t>
        </is>
      </c>
      <c r="B11" s="18" t="inlineStr">
        <is>
          <t>https://example.com/privacy</t>
        </is>
      </c>
      <c r="C11" s="19" t="inlineStr">
        <is>
          <t>Ссылка на политику в форме и на странице</t>
        </is>
      </c>
    </row>
    <row r="12" ht="26" customHeight="1">
      <c r="A12" s="14" t="inlineStr">
        <is>
          <t>sphere_sheet</t>
        </is>
      </c>
      <c r="B12" s="15" t="inlineStr">
        <is>
          <t>Сферы</t>
        </is>
      </c>
      <c r="C12" s="16" t="inlineStr">
        <is>
          <t>Имя листа-справочника</t>
        </is>
      </c>
    </row>
    <row r="13" ht="26" customHeight="1">
      <c r="A13" s="17" t="inlineStr">
        <is>
          <t>answers_sheet</t>
        </is>
      </c>
      <c r="B13" s="18" t="inlineStr">
        <is>
          <t>Ответы</t>
        </is>
      </c>
      <c r="C13" s="19" t="inlineStr">
        <is>
          <t>Имя листа с ответами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2026-10-28T15:49:41Z</dcterms:created>
  <dcterms:modified xmlns:dcterms="http://purl.org/dc/terms/" xmlns:xsi="http://www.w3.org/2001/XMLSchema-instance" xsi:type="dcterms:W3CDTF">2026-10-28T15:49:42Z</dcterms:modified>
</cp:coreProperties>
</file>